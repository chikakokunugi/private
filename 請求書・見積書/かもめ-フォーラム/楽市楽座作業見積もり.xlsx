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ocuments/GitHub/private/請求書・見積書/かもめ-フォーラム/"/>
    </mc:Choice>
  </mc:AlternateContent>
  <xr:revisionPtr revIDLastSave="0" documentId="13_ncr:1_{780ED4AD-E7F4-B340-B08C-280FEBA6681D}" xr6:coauthVersionLast="47" xr6:coauthVersionMax="47" xr10:uidLastSave="{00000000-0000-0000-0000-000000000000}"/>
  <bookViews>
    <workbookView xWindow="0" yWindow="480" windowWidth="28800" windowHeight="17520" activeTab="1" xr2:uid="{00000000-000D-0000-FFFF-FFFF00000000}"/>
  </bookViews>
  <sheets>
    <sheet name="請求書" sheetId="1" r:id="rId1"/>
    <sheet name="見積書" sheetId="2" r:id="rId2"/>
    <sheet name="納品書" sheetId="3" r:id="rId3"/>
    <sheet name="発注書" sheetId="4" r:id="rId4"/>
    <sheet name="領収書" sheetId="5" r:id="rId5"/>
  </sheets>
  <definedNames>
    <definedName name="_xlnm.Print_Area" localSheetId="1">見積書!$A$1:$H$35</definedName>
    <definedName name="_xlnm.Print_Area" localSheetId="0">請求書!$A$1:$H$36</definedName>
    <definedName name="_xlnm.Print_Area" localSheetId="2">納品書!$A$1:$H$35</definedName>
    <definedName name="_xlnm.Print_Area" localSheetId="3">発注書!$A$1:$H$35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H20" i="4"/>
  <c r="H19" i="4"/>
  <c r="H18" i="4"/>
  <c r="H17" i="4"/>
  <c r="G30" i="4" s="1"/>
  <c r="H21" i="3"/>
  <c r="H20" i="3"/>
  <c r="H19" i="3"/>
  <c r="H18" i="3"/>
  <c r="H17" i="3"/>
  <c r="G30" i="3" s="1"/>
  <c r="H16" i="2"/>
  <c r="H17" i="1"/>
  <c r="G31" i="4" l="1"/>
  <c r="G32" i="4" s="1"/>
  <c r="C14" i="4" s="1"/>
  <c r="G31" i="3"/>
  <c r="G32" i="3" s="1"/>
  <c r="C14" i="3" s="1"/>
  <c r="G29" i="2"/>
  <c r="G30" i="2" s="1"/>
  <c r="G31" i="2" s="1"/>
  <c r="C13" i="2" s="1"/>
  <c r="G31" i="1"/>
  <c r="G32" i="1" s="1"/>
  <c r="C14" i="1" s="1"/>
</calcChain>
</file>

<file path=xl/sharedStrings.xml><?xml version="1.0" encoding="utf-8"?>
<sst xmlns="http://schemas.openxmlformats.org/spreadsheetml/2006/main" count="116" uniqueCount="59">
  <si>
    <t>発行日：</t>
    <rPh sb="0" eb="3">
      <t>ハッコウビ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</si>
  <si>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</si>
  <si>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</si>
  <si>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</si>
  <si>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</si>
  <si>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電  話：</t>
    <rPh sb="0" eb="1">
      <t>デン</t>
    </rPh>
    <rPh sb="3" eb="4">
      <t>ハナシ</t>
    </rPh>
    <phoneticPr fontId="2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</si>
  <si>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2"/>
  </si>
  <si>
    <t>○○県○○市</t>
    <rPh sb="2" eb="3">
      <t>ケン</t>
    </rPh>
    <rPh sb="5" eb="6">
      <t>シ</t>
    </rPh>
    <phoneticPr fontId="2"/>
  </si>
  <si>
    <t>株式会社  ○○○○ ×××支店</t>
    <rPh sb="0" eb="4">
      <t>カブシキガイシャ</t>
    </rPh>
    <phoneticPr fontId="2"/>
  </si>
  <si>
    <t>○○県○○市○○ ×-×-×</t>
    <rPh sb="2" eb="3">
      <t>ケン</t>
    </rPh>
    <rPh sb="5" eb="6">
      <t>シ</t>
    </rPh>
    <phoneticPr fontId="2"/>
  </si>
  <si>
    <t>伝票番号：</t>
    <rPh sb="0" eb="2">
      <t>デンピョウ</t>
    </rPh>
    <rPh sb="2" eb="4">
      <t>バンゴウ</t>
    </rPh>
    <phoneticPr fontId="2"/>
  </si>
  <si>
    <t>〒000-0000</t>
    <phoneticPr fontId="2"/>
  </si>
  <si>
    <t>E-mail：</t>
    <phoneticPr fontId="2"/>
  </si>
  <si>
    <t>商品名</t>
    <rPh sb="0" eb="3">
      <t>ショウヒンメイ</t>
    </rPh>
    <phoneticPr fontId="2"/>
  </si>
  <si>
    <t>商品名</t>
    <rPh sb="0" eb="1">
      <t>ショウ</t>
    </rPh>
    <rPh sb="1" eb="3">
      <t>ヒンメイ</t>
    </rPh>
    <phoneticPr fontId="2"/>
  </si>
  <si>
    <t>小計</t>
    <phoneticPr fontId="2"/>
  </si>
  <si>
    <t>消費税</t>
    <phoneticPr fontId="2"/>
  </si>
  <si>
    <t>合計金額</t>
    <phoneticPr fontId="2"/>
  </si>
  <si>
    <t>振込先</t>
    <rPh sb="0" eb="3">
      <t>フリコミサキ</t>
    </rPh>
    <phoneticPr fontId="2"/>
  </si>
  <si>
    <t>ご請求金額</t>
    <rPh sb="1" eb="3">
      <t>セイキュウ</t>
    </rPh>
    <rPh sb="3" eb="5">
      <t>キンガク</t>
    </rPh>
    <phoneticPr fontId="2"/>
  </si>
  <si>
    <t>000-0000-0000</t>
    <phoneticPr fontId="2"/>
  </si>
  <si>
    <t>お支払期限</t>
    <rPh sb="1" eb="3">
      <t>シハライ</t>
    </rPh>
    <rPh sb="3" eb="5">
      <t>キゲン</t>
    </rPh>
    <phoneticPr fontId="2"/>
  </si>
  <si>
    <t>○○ ×-×-×</t>
    <phoneticPr fontId="2"/>
  </si>
  <si>
    <t>見　積　書</t>
    <rPh sb="0" eb="1">
      <t>ミ</t>
    </rPh>
    <rPh sb="2" eb="3">
      <t>ツモ</t>
    </rPh>
    <phoneticPr fontId="2"/>
  </si>
  <si>
    <t>請　求　書</t>
    <phoneticPr fontId="2"/>
  </si>
  <si>
    <t>有効期限</t>
    <rPh sb="0" eb="2">
      <t>ユウコウ</t>
    </rPh>
    <rPh sb="2" eb="4">
      <t>キゲン</t>
    </rPh>
    <phoneticPr fontId="2"/>
  </si>
  <si>
    <t>お見積金額</t>
    <rPh sb="1" eb="5">
      <t>ミツモリキンガク</t>
    </rPh>
    <phoneticPr fontId="2"/>
  </si>
  <si>
    <t>下記の通りお見積り申し上げます。</t>
    <rPh sb="0" eb="2">
      <t>カキ</t>
    </rPh>
    <rPh sb="3" eb="4">
      <t>トオ</t>
    </rPh>
    <rPh sb="6" eb="8">
      <t>ミツモ</t>
    </rPh>
    <rPh sb="9" eb="10">
      <t>モウ</t>
    </rPh>
    <rPh sb="11" eb="12">
      <t>ア</t>
    </rPh>
    <phoneticPr fontId="2"/>
  </si>
  <si>
    <t>支払条件</t>
    <rPh sb="0" eb="2">
      <t>シハライ</t>
    </rPh>
    <rPh sb="2" eb="4">
      <t>ジョウケン</t>
    </rPh>
    <phoneticPr fontId="2"/>
  </si>
  <si>
    <t>納　品　書</t>
    <rPh sb="0" eb="1">
      <t>オサメ</t>
    </rPh>
    <phoneticPr fontId="2"/>
  </si>
  <si>
    <t>合計金額</t>
    <rPh sb="0" eb="2">
      <t>ゴウケイ</t>
    </rPh>
    <rPh sb="2" eb="4">
      <t>キンガク</t>
    </rPh>
    <phoneticPr fontId="2"/>
  </si>
  <si>
    <t>下記の通り納品いたします。</t>
    <rPh sb="0" eb="2">
      <t>カキ</t>
    </rPh>
    <rPh sb="3" eb="4">
      <t>トオ</t>
    </rPh>
    <rPh sb="5" eb="7">
      <t>ノウヒン</t>
    </rPh>
    <phoneticPr fontId="2"/>
  </si>
  <si>
    <t>株式会社○○○○　　御中</t>
    <rPh sb="0" eb="4">
      <t>カブシキガイシャ</t>
    </rPh>
    <rPh sb="10" eb="12">
      <t>オンチュウ</t>
    </rPh>
    <phoneticPr fontId="2"/>
  </si>
  <si>
    <t>発　注　書</t>
    <rPh sb="0" eb="1">
      <t>ハッ</t>
    </rPh>
    <phoneticPr fontId="2"/>
  </si>
  <si>
    <t>下記の通り発注いたします。</t>
    <rPh sb="0" eb="2">
      <t>カキ</t>
    </rPh>
    <rPh sb="3" eb="4">
      <t>トオ</t>
    </rPh>
    <rPh sb="5" eb="7">
      <t>ハッチュウ</t>
    </rPh>
    <phoneticPr fontId="2"/>
  </si>
  <si>
    <t>No.</t>
    <phoneticPr fontId="2"/>
  </si>
  <si>
    <t>但し</t>
    <rPh sb="0" eb="1">
      <t>タダ</t>
    </rPh>
    <phoneticPr fontId="2"/>
  </si>
  <si>
    <t>上記正に領収いたしました</t>
    <rPh sb="0" eb="2">
      <t>ジョウキ</t>
    </rPh>
    <rPh sb="2" eb="3">
      <t>マサ</t>
    </rPh>
    <rPh sb="4" eb="6">
      <t>リョウシュウ</t>
    </rPh>
    <phoneticPr fontId="2"/>
  </si>
  <si>
    <t>金額</t>
    <rPh sb="0" eb="2">
      <t>キンガクゴウキン</t>
    </rPh>
    <phoneticPr fontId="2"/>
  </si>
  <si>
    <t>電  話：　000-000-0000</t>
    <rPh sb="0" eb="1">
      <t>デン</t>
    </rPh>
    <rPh sb="3" eb="4">
      <t>ハナシ</t>
    </rPh>
    <phoneticPr fontId="2"/>
  </si>
  <si>
    <t>〒000-0000　 ○○県○○市○○ ×-×-×</t>
    <phoneticPr fontId="2"/>
  </si>
  <si>
    <t>内訳</t>
    <rPh sb="0" eb="2">
      <t>ウチワケ</t>
    </rPh>
    <phoneticPr fontId="2"/>
  </si>
  <si>
    <t>税抜金額</t>
    <rPh sb="0" eb="2">
      <t>ゼイヌ</t>
    </rPh>
    <rPh sb="2" eb="4">
      <t>キンガク</t>
    </rPh>
    <phoneticPr fontId="2"/>
  </si>
  <si>
    <t>aaaaaa@bbbbb.jp</t>
    <phoneticPr fontId="2"/>
  </si>
  <si>
    <t>領収日</t>
    <rPh sb="0" eb="3">
      <t>リョウシュウビ</t>
    </rPh>
    <phoneticPr fontId="2"/>
  </si>
  <si>
    <t>E-mail：　aaaaaa@bbbbb.jp</t>
    <phoneticPr fontId="2"/>
  </si>
  <si>
    <t>領　　収　　書</t>
    <rPh sb="0" eb="1">
      <t>リョウ</t>
    </rPh>
    <rPh sb="3" eb="4">
      <t>オサム</t>
    </rPh>
    <rPh sb="6" eb="7">
      <t>ショ</t>
    </rPh>
    <phoneticPr fontId="2"/>
  </si>
  <si>
    <t>消費税等</t>
    <rPh sb="0" eb="3">
      <t>ショウヒゼイ</t>
    </rPh>
    <rPh sb="3" eb="4">
      <t>ナド</t>
    </rPh>
    <phoneticPr fontId="2"/>
  </si>
  <si>
    <t>桾 知香子</t>
    <rPh sb="0" eb="1">
      <t>クヌギ</t>
    </rPh>
    <rPh sb="2" eb="3">
      <t xml:space="preserve">シル </t>
    </rPh>
    <rPh sb="3" eb="4">
      <t xml:space="preserve">カオル </t>
    </rPh>
    <rPh sb="4" eb="5">
      <t>コドモ</t>
    </rPh>
    <phoneticPr fontId="2"/>
  </si>
  <si>
    <t>〒652-0008</t>
    <phoneticPr fontId="2"/>
  </si>
  <si>
    <t>神戸市兵庫区上祇園町11-1</t>
    <rPh sb="0" eb="6">
      <t>コウベス</t>
    </rPh>
    <rPh sb="6" eb="7">
      <t>ウエ</t>
    </rPh>
    <rPh sb="7" eb="10">
      <t>ギオn</t>
    </rPh>
    <phoneticPr fontId="2"/>
  </si>
  <si>
    <t>サニーハイツ上祇園303</t>
    <rPh sb="6" eb="7">
      <t>ウエ</t>
    </rPh>
    <rPh sb="7" eb="9">
      <t>ギオn</t>
    </rPh>
    <phoneticPr fontId="2"/>
  </si>
  <si>
    <t>にん歯科 様 採用ページコーディング、構造化データ組込、サーチコンソール設定</t>
    <rPh sb="2" eb="4">
      <t xml:space="preserve">シカ </t>
    </rPh>
    <rPh sb="5" eb="6">
      <t xml:space="preserve">サマ </t>
    </rPh>
    <rPh sb="7" eb="9">
      <t>サイヨウ</t>
    </rPh>
    <rPh sb="19" eb="22">
      <t>コウゾウ</t>
    </rPh>
    <rPh sb="25" eb="27">
      <t>クミコミ</t>
    </rPh>
    <rPh sb="36" eb="38">
      <t>セッテイ</t>
    </rPh>
    <phoneticPr fontId="2"/>
  </si>
  <si>
    <t>普通　4452797　クヌギチカコ</t>
    <rPh sb="0" eb="2">
      <t>フツウ</t>
    </rPh>
    <phoneticPr fontId="2"/>
  </si>
  <si>
    <t>三井住友銀行   鈴蘭台支店</t>
    <rPh sb="0" eb="6">
      <t>ミツイ</t>
    </rPh>
    <rPh sb="9" eb="14">
      <t>スズラn</t>
    </rPh>
    <phoneticPr fontId="2"/>
  </si>
  <si>
    <t>株式会社フォーラム御中</t>
    <rPh sb="0" eb="4">
      <t>カブシキ</t>
    </rPh>
    <rPh sb="9" eb="11">
      <t>オンチュウ</t>
    </rPh>
    <phoneticPr fontId="2"/>
  </si>
  <si>
    <t>新神戸ウェルネスクリニック美容皮膚科のHP更新作業</t>
    <rPh sb="0" eb="3">
      <t>ショウヒンメイ</t>
    </rPh>
    <phoneticPr fontId="2"/>
  </si>
  <si>
    <t>〒651-0084</t>
    <phoneticPr fontId="2"/>
  </si>
  <si>
    <t>神戸市中央区磯部通4-2-26</t>
    <rPh sb="0" eb="6">
      <t>コウベ</t>
    </rPh>
    <rPh sb="6" eb="9">
      <t>イソ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</si>
</sst>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42" formatCode="_ &quot;¥&quot;* #,##0_ ;_ &quot;¥&quot;* \-#,##0_ ;_ &quot;¥&quot;* &quot;-&quot;_ ;_ @_ "/>
    <numFmt numFmtId="176" formatCode="#,##0_);[Red]\(#,##0\)"/>
    <numFmt numFmtId="177" formatCode="#,##0_ ;[Red]\-#,##0\ "/>
    <numFmt numFmtId="178" formatCode="yyyy&quot;年&quot;m&quot;月&quot;d&quot;日&quot;;@"/>
  </numFmts>
  <fonts count="2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20"/>
      <name val="游ゴシック"/>
      <family val="3"/>
      <charset val="128"/>
    </font>
    <font>
      <sz val="12"/>
      <name val="游ゴシック"/>
      <family val="3"/>
      <charset val="128"/>
    </font>
    <font>
      <b/>
      <sz val="12"/>
      <color theme="8" tint="-0.499984740745262"/>
      <name val="游ゴシック"/>
      <family val="3"/>
      <charset val="128"/>
    </font>
    <font>
      <b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11"/>
      <color theme="8" tint="-0.499984740745262"/>
      <name val="游ゴシック"/>
      <family val="3"/>
      <charset val="128"/>
    </font>
    <font>
      <sz val="11"/>
      <color theme="8" tint="-0.499984740745262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4"/>
      <color theme="8" tint="-0.499984740745262"/>
      <name val="游ゴシック"/>
      <family val="3"/>
      <charset val="128"/>
    </font>
    <font>
      <sz val="10"/>
      <color theme="8" tint="-0.249977111117893"/>
      <name val="游ゴシック"/>
      <family val="3"/>
      <charset val="128"/>
    </font>
    <font>
      <b/>
      <sz val="10"/>
      <name val="游ゴシック"/>
      <family val="3"/>
      <charset val="128"/>
    </font>
    <font>
      <sz val="9"/>
      <color theme="8" tint="-0.249977111117893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0" tint="-0.3499862666707357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color theme="8" tint="-0.499984740745262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ＭＳ Ｐゴシック"/>
      <family val="3"/>
      <charset val="128"/>
    </font>
    <font>
      <b/>
      <sz val="22"/>
      <color theme="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/>
      <top style="medium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42" fontId="9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11" fillId="0" borderId="6" xfId="0" applyFont="1" applyBorder="1"/>
    <xf numFmtId="0" fontId="11" fillId="0" borderId="5" xfId="0" applyFont="1" applyBorder="1"/>
    <xf numFmtId="0" fontId="3" fillId="0" borderId="6" xfId="0" applyFont="1" applyBorder="1"/>
    <xf numFmtId="0" fontId="11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1" fillId="0" borderId="17" xfId="0" applyFont="1" applyBorder="1"/>
    <xf numFmtId="0" fontId="10" fillId="0" borderId="0" xfId="0" applyFont="1"/>
    <xf numFmtId="0" fontId="10" fillId="0" borderId="5" xfId="0" applyFont="1" applyBorder="1"/>
    <xf numFmtId="0" fontId="17" fillId="0" borderId="3" xfId="0" applyFont="1" applyBorder="1"/>
    <xf numFmtId="0" fontId="16" fillId="0" borderId="0" xfId="0" applyFont="1"/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5" fillId="0" borderId="18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14" fillId="3" borderId="5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17" fillId="0" borderId="19" xfId="0" applyFont="1" applyBorder="1" applyAlignment="1">
      <alignment vertical="center"/>
    </xf>
    <xf numFmtId="0" fontId="18" fillId="0" borderId="19" xfId="0" applyFont="1" applyBorder="1"/>
    <xf numFmtId="0" fontId="17" fillId="0" borderId="3" xfId="0" applyFont="1" applyBorder="1" applyAlignment="1">
      <alignment vertical="center"/>
    </xf>
    <xf numFmtId="0" fontId="20" fillId="0" borderId="0" xfId="0" applyFont="1"/>
    <xf numFmtId="177" fontId="18" fillId="0" borderId="7" xfId="1" applyNumberFormat="1" applyFont="1" applyBorder="1" applyAlignment="1">
      <alignment vertical="center"/>
    </xf>
    <xf numFmtId="176" fontId="18" fillId="0" borderId="7" xfId="1" applyNumberFormat="1" applyFont="1" applyBorder="1" applyAlignment="1">
      <alignment vertical="center"/>
    </xf>
    <xf numFmtId="176" fontId="18" fillId="0" borderId="10" xfId="1" applyNumberFormat="1" applyFont="1" applyBorder="1" applyAlignment="1">
      <alignment vertical="center"/>
    </xf>
    <xf numFmtId="177" fontId="18" fillId="0" borderId="8" xfId="1" applyNumberFormat="1" applyFont="1" applyBorder="1" applyAlignment="1">
      <alignment vertical="center"/>
    </xf>
    <xf numFmtId="176" fontId="18" fillId="0" borderId="8" xfId="1" applyNumberFormat="1" applyFont="1" applyBorder="1" applyAlignment="1">
      <alignment vertical="center"/>
    </xf>
    <xf numFmtId="176" fontId="18" fillId="0" borderId="12" xfId="1" applyNumberFormat="1" applyFont="1" applyBorder="1" applyAlignment="1">
      <alignment vertical="center"/>
    </xf>
    <xf numFmtId="177" fontId="18" fillId="0" borderId="14" xfId="1" applyNumberFormat="1" applyFont="1" applyBorder="1" applyAlignment="1">
      <alignment vertical="center"/>
    </xf>
    <xf numFmtId="176" fontId="18" fillId="0" borderId="14" xfId="1" applyNumberFormat="1" applyFont="1" applyBorder="1" applyAlignment="1">
      <alignment vertical="center"/>
    </xf>
    <xf numFmtId="176" fontId="18" fillId="0" borderId="15" xfId="1" applyNumberFormat="1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178" fontId="18" fillId="0" borderId="0" xfId="0" applyNumberFormat="1" applyFont="1"/>
    <xf numFmtId="0" fontId="21" fillId="0" borderId="0" xfId="0" applyFont="1"/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21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78" fontId="4" fillId="0" borderId="0" xfId="0" applyNumberFormat="1" applyFont="1"/>
    <xf numFmtId="0" fontId="23" fillId="0" borderId="0" xfId="0" applyFont="1" applyAlignment="1">
      <alignment horizontal="left" vertical="center"/>
    </xf>
    <xf numFmtId="0" fontId="2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5" fillId="2" borderId="0" xfId="0" applyFont="1" applyFill="1" applyAlignment="1">
      <alignment horizontal="center" vertical="center"/>
    </xf>
    <xf numFmtId="42" fontId="3" fillId="0" borderId="6" xfId="0" applyNumberFormat="1" applyFont="1" applyBorder="1" applyAlignment="1">
      <alignment horizontal="right"/>
    </xf>
    <xf numFmtId="42" fontId="3" fillId="0" borderId="4" xfId="0" applyNumberFormat="1" applyFont="1" applyBorder="1" applyAlignment="1">
      <alignment horizontal="right"/>
    </xf>
    <xf numFmtId="42" fontId="13" fillId="0" borderId="4" xfId="0" applyNumberFormat="1" applyFont="1" applyBorder="1" applyAlignment="1">
      <alignment horizontal="right"/>
    </xf>
    <xf numFmtId="178" fontId="4" fillId="0" borderId="5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left"/>
    </xf>
    <xf numFmtId="0" fontId="18" fillId="0" borderId="9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42" fontId="22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2" fontId="20" fillId="0" borderId="4" xfId="0" applyNumberFormat="1" applyFont="1" applyBorder="1" applyAlignment="1">
      <alignment horizontal="right"/>
    </xf>
    <xf numFmtId="5" fontId="18" fillId="0" borderId="3" xfId="0" applyNumberFormat="1" applyFont="1" applyBorder="1" applyAlignment="1">
      <alignment horizontal="center"/>
    </xf>
    <xf numFmtId="5" fontId="8" fillId="3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11</xdr:row>
      <xdr:rowOff>19050</xdr:rowOff>
    </xdr:from>
    <xdr:to>
      <xdr:col>4</xdr:col>
      <xdr:colOff>200025</xdr:colOff>
      <xdr:row>13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0C99B8C-52D4-490F-9D3E-C29DE0D0EE73}"/>
            </a:ext>
          </a:extLst>
        </xdr:cNvPr>
        <xdr:cNvSpPr/>
      </xdr:nvSpPr>
      <xdr:spPr>
        <a:xfrm>
          <a:off x="2190750" y="3448050"/>
          <a:ext cx="561975" cy="66675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収入</a:t>
          </a:r>
          <a:endParaRPr kumimoji="1" lang="en-US" altLang="ja-JP" sz="9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印紙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showZeros="0" zoomScale="115" zoomScaleNormal="115" workbookViewId="0">
      <selection activeCell="G11" sqref="G11"/>
    </sheetView>
  </sheetViews>
  <sheetFormatPr baseColWidth="10" defaultColWidth="8.83203125" defaultRowHeight="14"/>
  <cols>
    <col min="1" max="1" width="10.6640625" customWidth="1"/>
    <col min="2" max="2" width="7.6640625" customWidth="1"/>
    <col min="3" max="4" width="10.6640625" customWidth="1"/>
    <col min="5" max="5" width="14.5" customWidth="1"/>
    <col min="6" max="6" width="6.6640625" customWidth="1"/>
    <col min="7" max="7" width="10.6640625" customWidth="1"/>
    <col min="8" max="8" width="12.83203125" customWidth="1"/>
  </cols>
  <sheetData>
    <row r="1" spans="1:8" ht="21" customHeight="1">
      <c r="A1" s="57" t="s">
        <v>24</v>
      </c>
      <c r="B1" s="57"/>
      <c r="C1" s="57"/>
      <c r="D1" s="57"/>
      <c r="E1" s="57"/>
      <c r="F1" s="57"/>
      <c r="G1" s="57"/>
      <c r="H1" s="57"/>
    </row>
    <row r="2" spans="1:8" ht="23.25" customHeight="1">
      <c r="A2" s="57"/>
      <c r="B2" s="57"/>
      <c r="C2" s="57"/>
      <c r="D2" s="57"/>
      <c r="E2" s="57"/>
      <c r="F2" s="57"/>
      <c r="G2" s="57"/>
      <c r="H2" s="57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45" t="s">
        <v>0</v>
      </c>
      <c r="H4" s="46">
        <v>45991</v>
      </c>
    </row>
    <row r="5" spans="1:8" ht="9" customHeight="1">
      <c r="A5" s="5"/>
      <c r="B5" s="5"/>
      <c r="C5" s="5"/>
      <c r="D5" s="55"/>
      <c r="E5" s="8"/>
      <c r="F5" s="8"/>
      <c r="G5" s="2"/>
      <c r="H5" s="2"/>
    </row>
    <row r="6" spans="1:8" ht="18" hidden="1" customHeight="1">
      <c r="A6" s="7"/>
      <c r="B6" s="54"/>
      <c r="C6" s="54"/>
      <c r="D6" s="54"/>
      <c r="E6" s="8"/>
    </row>
    <row r="7" spans="1:8" ht="1" hidden="1" customHeight="1">
      <c r="A7" s="68" t="s">
        <v>55</v>
      </c>
      <c r="B7" s="69"/>
      <c r="C7" s="69"/>
      <c r="D7" s="69"/>
      <c r="E7" s="2"/>
      <c r="F7" s="34"/>
      <c r="G7" s="2"/>
      <c r="H7" s="2"/>
    </row>
    <row r="8" spans="1:8" ht="35" customHeight="1" thickBot="1">
      <c r="A8" s="70"/>
      <c r="B8" s="70"/>
      <c r="C8" s="70"/>
      <c r="D8" s="70"/>
      <c r="E8" s="2"/>
      <c r="F8" s="5"/>
      <c r="G8" s="5"/>
      <c r="H8" s="2"/>
    </row>
    <row r="9" spans="1:8" ht="23" customHeight="1">
      <c r="A9" s="2"/>
      <c r="B9" s="2"/>
      <c r="C9" s="2"/>
      <c r="D9" s="2"/>
      <c r="E9" s="2"/>
      <c r="F9" s="5"/>
      <c r="G9" s="5" t="s">
        <v>48</v>
      </c>
      <c r="H9" s="2"/>
    </row>
    <row r="10" spans="1:8" ht="18.75" customHeight="1">
      <c r="A10" s="2"/>
      <c r="B10" s="2"/>
      <c r="C10" s="2"/>
      <c r="D10" s="2"/>
      <c r="E10" s="2"/>
      <c r="F10" s="5"/>
      <c r="G10" s="5" t="s">
        <v>49</v>
      </c>
      <c r="H10" s="2"/>
    </row>
    <row r="11" spans="1:8" s="56" customFormat="1" ht="18.75" customHeight="1">
      <c r="F11" s="5"/>
      <c r="G11" s="5" t="s">
        <v>50</v>
      </c>
    </row>
    <row r="12" spans="1:8" ht="18">
      <c r="A12" s="2" t="s">
        <v>6</v>
      </c>
      <c r="B12" s="2"/>
      <c r="C12" s="2"/>
      <c r="D12" s="2"/>
      <c r="E12" s="2"/>
      <c r="F12" s="5"/>
      <c r="G12" s="5" t="s">
        <v>51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6" t="s">
        <v>19</v>
      </c>
      <c r="B14" s="76"/>
      <c r="C14" s="75">
        <f>G32</f>
        <v>3300</v>
      </c>
      <c r="D14" s="75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71" t="s">
        <v>52</v>
      </c>
      <c r="B17" s="72"/>
      <c r="C17" s="72"/>
      <c r="D17" s="72"/>
      <c r="E17" s="72"/>
      <c r="F17" s="35">
        <v>1</v>
      </c>
      <c r="G17" s="36">
        <v>3000</v>
      </c>
      <c r="H17" s="37">
        <f t="shared" ref="H17" si="0">F17*G17</f>
        <v>3000</v>
      </c>
    </row>
    <row r="18" spans="1:8" ht="22" customHeight="1">
      <c r="A18" s="64"/>
      <c r="B18" s="65"/>
      <c r="C18" s="65"/>
      <c r="D18" s="65"/>
      <c r="E18" s="65"/>
      <c r="F18" s="38"/>
      <c r="G18" s="39"/>
      <c r="H18" s="40"/>
    </row>
    <row r="19" spans="1:8" ht="22" customHeight="1">
      <c r="A19" s="64"/>
      <c r="B19" s="65"/>
      <c r="C19" s="65"/>
      <c r="D19" s="65"/>
      <c r="E19" s="65"/>
      <c r="F19" s="38"/>
      <c r="G19" s="39"/>
      <c r="H19" s="40"/>
    </row>
    <row r="20" spans="1:8" ht="22" customHeight="1">
      <c r="A20" s="64"/>
      <c r="B20" s="65"/>
      <c r="C20" s="65"/>
      <c r="D20" s="65"/>
      <c r="E20" s="65"/>
      <c r="F20" s="38"/>
      <c r="G20" s="39"/>
      <c r="H20" s="40"/>
    </row>
    <row r="21" spans="1:8" ht="22" customHeight="1">
      <c r="A21" s="64"/>
      <c r="B21" s="65"/>
      <c r="C21" s="65"/>
      <c r="D21" s="65"/>
      <c r="E21" s="65"/>
      <c r="F21" s="38"/>
      <c r="G21" s="39"/>
      <c r="H21" s="40"/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66" t="s">
        <v>18</v>
      </c>
      <c r="B30" s="5" t="s">
        <v>54</v>
      </c>
      <c r="C30" s="5"/>
      <c r="D30" s="5"/>
      <c r="E30" s="2"/>
      <c r="F30" s="13" t="s">
        <v>15</v>
      </c>
      <c r="G30" s="58">
        <v>3000</v>
      </c>
      <c r="H30" s="58"/>
    </row>
    <row r="31" spans="1:8" ht="28.5" customHeight="1" thickBot="1">
      <c r="A31" s="67"/>
      <c r="B31" s="48" t="s">
        <v>53</v>
      </c>
      <c r="C31" s="49"/>
      <c r="D31" s="49"/>
      <c r="E31" s="2"/>
      <c r="F31" s="14" t="s">
        <v>16</v>
      </c>
      <c r="G31" s="59">
        <f>G30*0.1</f>
        <v>300</v>
      </c>
      <c r="H31" s="59"/>
    </row>
    <row r="32" spans="1:8" ht="28.5" customHeight="1" thickBot="1">
      <c r="A32" s="50" t="s">
        <v>21</v>
      </c>
      <c r="B32" s="61">
        <v>46022</v>
      </c>
      <c r="C32" s="61"/>
      <c r="D32" s="61"/>
      <c r="E32" s="2"/>
      <c r="F32" s="21" t="s">
        <v>17</v>
      </c>
      <c r="G32" s="60">
        <f>G30+G31</f>
        <v>3300</v>
      </c>
      <c r="H32" s="60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22" customHeight="1">
      <c r="A35" s="47"/>
      <c r="B35" s="2"/>
      <c r="C35" s="2"/>
      <c r="D35" s="2"/>
      <c r="E35" s="2"/>
      <c r="F35" s="2"/>
      <c r="G35" s="2"/>
      <c r="H35" s="2"/>
    </row>
    <row r="36" spans="1:8" ht="22" customHeight="1" thickBot="1">
      <c r="A36" s="15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3">
    <mergeCell ref="A30:A31"/>
    <mergeCell ref="A7:D8"/>
    <mergeCell ref="A17:E17"/>
    <mergeCell ref="A18:E18"/>
    <mergeCell ref="A16:E16"/>
    <mergeCell ref="C14:D14"/>
    <mergeCell ref="A14:B14"/>
    <mergeCell ref="A1:H2"/>
    <mergeCell ref="G30:H30"/>
    <mergeCell ref="G31:H31"/>
    <mergeCell ref="G32:H32"/>
    <mergeCell ref="B32:D32"/>
    <mergeCell ref="A29:E29"/>
    <mergeCell ref="A26:E26"/>
    <mergeCell ref="A21:E21"/>
    <mergeCell ref="A27:E27"/>
    <mergeCell ref="A28:E28"/>
    <mergeCell ref="A22:E22"/>
    <mergeCell ref="A23:E23"/>
    <mergeCell ref="A24:E24"/>
    <mergeCell ref="A25:E25"/>
    <mergeCell ref="A19:E19"/>
    <mergeCell ref="A20:E20"/>
  </mergeCells>
  <phoneticPr fontId="2"/>
  <printOptions horizontalCentered="1"/>
  <pageMargins left="0.7" right="0.7" top="0.75" bottom="0.75" header="0.3" footer="0.3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13A-CE38-4666-A6FC-9E969CD09582}">
  <sheetPr>
    <pageSetUpPr fitToPage="1"/>
  </sheetPr>
  <dimension ref="A1:H38"/>
  <sheetViews>
    <sheetView showGridLines="0" showZeros="0" tabSelected="1" zoomScaleNormal="100" workbookViewId="0">
      <selection activeCell="H5" sqref="H5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57" t="s">
        <v>23</v>
      </c>
      <c r="B1" s="57"/>
      <c r="C1" s="57"/>
      <c r="D1" s="57"/>
      <c r="E1" s="57"/>
      <c r="F1" s="57"/>
      <c r="G1" s="57"/>
      <c r="H1" s="57"/>
    </row>
    <row r="2" spans="1:8" ht="23.25" customHeight="1">
      <c r="A2" s="57"/>
      <c r="B2" s="57"/>
      <c r="C2" s="57"/>
      <c r="D2" s="57"/>
      <c r="E2" s="57"/>
      <c r="F2" s="57"/>
      <c r="G2" s="57"/>
      <c r="H2" s="57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45" t="s">
        <v>0</v>
      </c>
      <c r="H4" s="46">
        <v>45941</v>
      </c>
    </row>
    <row r="5" spans="1:8" ht="18.75" customHeight="1">
      <c r="A5" s="5" t="s">
        <v>57</v>
      </c>
      <c r="B5" s="2"/>
      <c r="C5" s="2"/>
      <c r="D5" s="2"/>
      <c r="E5" s="2"/>
      <c r="F5" s="2"/>
      <c r="G5" s="6"/>
      <c r="H5" s="5"/>
    </row>
    <row r="6" spans="1:8" ht="18.75" customHeight="1">
      <c r="A6" s="5" t="s">
        <v>58</v>
      </c>
      <c r="B6" s="2"/>
      <c r="C6" s="2"/>
      <c r="D6" s="8"/>
      <c r="E6" s="8"/>
      <c r="F6" s="8"/>
      <c r="G6" s="2"/>
      <c r="H6" s="2"/>
    </row>
    <row r="7" spans="1:8" ht="18.75" customHeight="1">
      <c r="A7" s="68" t="s">
        <v>55</v>
      </c>
      <c r="B7" s="69"/>
      <c r="C7" s="69"/>
      <c r="D7" s="69"/>
      <c r="E7" s="2"/>
      <c r="F7" s="34"/>
      <c r="G7" s="2"/>
      <c r="H7" s="2"/>
    </row>
    <row r="8" spans="1:8" ht="29" customHeight="1" thickBot="1">
      <c r="A8" s="70"/>
      <c r="B8" s="70"/>
      <c r="C8" s="70"/>
      <c r="D8" s="70"/>
      <c r="E8" s="2"/>
      <c r="F8" s="5" t="s">
        <v>48</v>
      </c>
      <c r="G8" s="5"/>
      <c r="H8" s="2"/>
    </row>
    <row r="9" spans="1:8" ht="18.75" customHeight="1">
      <c r="A9" s="2"/>
      <c r="B9" s="2"/>
      <c r="C9" s="2"/>
      <c r="D9" s="2"/>
      <c r="E9" s="2"/>
      <c r="F9" s="5" t="s">
        <v>49</v>
      </c>
      <c r="G9" s="5"/>
      <c r="H9" s="2"/>
    </row>
    <row r="10" spans="1:8" ht="18.75" customHeight="1">
      <c r="A10" s="2"/>
      <c r="B10" s="2"/>
      <c r="C10" s="2"/>
      <c r="D10" s="2"/>
      <c r="E10" s="2"/>
      <c r="F10" s="5" t="s">
        <v>50</v>
      </c>
      <c r="G10" s="5"/>
      <c r="H10" s="2"/>
    </row>
    <row r="11" spans="1:8" ht="18">
      <c r="A11" s="2" t="s">
        <v>27</v>
      </c>
      <c r="B11" s="2"/>
      <c r="C11" s="2"/>
      <c r="D11" s="2"/>
      <c r="E11" s="2"/>
      <c r="F11" s="5" t="s">
        <v>51</v>
      </c>
      <c r="G11" s="5"/>
      <c r="H11" s="2"/>
    </row>
    <row r="12" spans="1:8" ht="12" customHeight="1" thickBot="1">
      <c r="A12" s="9"/>
      <c r="B12" s="2"/>
      <c r="C12" s="2"/>
      <c r="D12" s="2"/>
      <c r="E12" s="2"/>
      <c r="F12" s="2"/>
      <c r="G12" s="2"/>
      <c r="H12" s="2"/>
    </row>
    <row r="13" spans="1:8" s="1" customFormat="1" ht="34.5" customHeight="1" thickBot="1">
      <c r="A13" s="76" t="s">
        <v>26</v>
      </c>
      <c r="B13" s="76"/>
      <c r="C13" s="75">
        <f>G31</f>
        <v>3300</v>
      </c>
      <c r="D13" s="75"/>
      <c r="E13" s="10"/>
      <c r="F13" s="11"/>
      <c r="G13" s="11"/>
      <c r="H13" s="11"/>
    </row>
    <row r="14" spans="1:8" ht="20.25" customHeight="1">
      <c r="A14" s="2"/>
      <c r="B14" s="2"/>
      <c r="C14" s="2"/>
      <c r="D14" s="2"/>
      <c r="E14" s="2"/>
      <c r="F14" s="2"/>
      <c r="G14" s="2"/>
      <c r="H14" s="2"/>
    </row>
    <row r="15" spans="1:8" ht="24.75" customHeight="1">
      <c r="A15" s="73" t="s">
        <v>14</v>
      </c>
      <c r="B15" s="74"/>
      <c r="C15" s="74"/>
      <c r="D15" s="74"/>
      <c r="E15" s="74"/>
      <c r="F15" s="44" t="s">
        <v>1</v>
      </c>
      <c r="G15" s="44" t="s">
        <v>2</v>
      </c>
      <c r="H15" s="44" t="s">
        <v>3</v>
      </c>
    </row>
    <row r="16" spans="1:8" ht="22" customHeight="1">
      <c r="A16" s="71" t="s">
        <v>56</v>
      </c>
      <c r="B16" s="72"/>
      <c r="C16" s="72"/>
      <c r="D16" s="72"/>
      <c r="E16" s="72"/>
      <c r="F16" s="35">
        <v>1</v>
      </c>
      <c r="G16" s="36">
        <v>3000</v>
      </c>
      <c r="H16" s="37">
        <f t="shared" ref="H16" si="0">F16*G16</f>
        <v>3000</v>
      </c>
    </row>
    <row r="17" spans="1:8" ht="22" customHeight="1">
      <c r="A17" s="64"/>
      <c r="B17" s="65"/>
      <c r="C17" s="65"/>
      <c r="D17" s="65"/>
      <c r="E17" s="65"/>
      <c r="F17" s="38"/>
      <c r="G17" s="39"/>
      <c r="H17" s="40"/>
    </row>
    <row r="18" spans="1:8" ht="22" customHeight="1">
      <c r="A18" s="64"/>
      <c r="B18" s="65"/>
      <c r="C18" s="65"/>
      <c r="D18" s="65"/>
      <c r="E18" s="65"/>
      <c r="F18" s="38"/>
      <c r="G18" s="39"/>
      <c r="H18" s="40"/>
    </row>
    <row r="19" spans="1:8" ht="22" customHeight="1">
      <c r="A19" s="64"/>
      <c r="B19" s="65"/>
      <c r="C19" s="65"/>
      <c r="D19" s="65"/>
      <c r="E19" s="65"/>
      <c r="F19" s="38"/>
      <c r="G19" s="39"/>
      <c r="H19" s="40"/>
    </row>
    <row r="20" spans="1:8" ht="22" customHeight="1">
      <c r="A20" s="64"/>
      <c r="B20" s="65"/>
      <c r="C20" s="65"/>
      <c r="D20" s="65"/>
      <c r="E20" s="65"/>
      <c r="F20" s="38"/>
      <c r="G20" s="39"/>
      <c r="H20" s="40"/>
    </row>
    <row r="21" spans="1:8" ht="22" customHeight="1">
      <c r="A21" s="64"/>
      <c r="B21" s="65"/>
      <c r="C21" s="65"/>
      <c r="D21" s="65"/>
      <c r="E21" s="65"/>
      <c r="F21" s="38"/>
      <c r="G21" s="39"/>
      <c r="H21" s="40"/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2"/>
      <c r="B28" s="63"/>
      <c r="C28" s="63"/>
      <c r="D28" s="63"/>
      <c r="E28" s="63"/>
      <c r="F28" s="41"/>
      <c r="G28" s="42"/>
      <c r="H28" s="43"/>
    </row>
    <row r="29" spans="1:8" ht="28.5" customHeight="1" thickBot="1">
      <c r="A29" s="12"/>
      <c r="B29" s="2"/>
      <c r="C29" s="2"/>
      <c r="D29" s="2"/>
      <c r="E29" s="2"/>
      <c r="F29" s="13" t="s">
        <v>15</v>
      </c>
      <c r="G29" s="58">
        <f>SUM(H16:H20)</f>
        <v>3000</v>
      </c>
      <c r="H29" s="58"/>
    </row>
    <row r="30" spans="1:8" ht="28.5" customHeight="1" thickBot="1">
      <c r="A30" s="50" t="s">
        <v>28</v>
      </c>
      <c r="B30" s="51"/>
      <c r="C30" s="48"/>
      <c r="D30" s="48"/>
      <c r="E30" s="2"/>
      <c r="F30" s="14" t="s">
        <v>16</v>
      </c>
      <c r="G30" s="59">
        <f>G29*0.1</f>
        <v>300</v>
      </c>
      <c r="H30" s="59"/>
    </row>
    <row r="31" spans="1:8" ht="28.5" customHeight="1" thickBot="1">
      <c r="A31" s="50" t="s">
        <v>25</v>
      </c>
      <c r="B31" s="61">
        <v>46022</v>
      </c>
      <c r="C31" s="61"/>
      <c r="D31" s="61"/>
      <c r="E31" s="2"/>
      <c r="F31" s="21" t="s">
        <v>17</v>
      </c>
      <c r="G31" s="60">
        <f>G29+G30</f>
        <v>3300</v>
      </c>
      <c r="H31" s="60"/>
    </row>
    <row r="32" spans="1:8" ht="22" customHeight="1">
      <c r="A32" s="12"/>
      <c r="B32" s="2"/>
      <c r="C32" s="2"/>
      <c r="D32" s="2"/>
      <c r="E32" s="2"/>
      <c r="F32" s="2"/>
      <c r="G32" s="2"/>
      <c r="H32" s="2"/>
    </row>
    <row r="33" spans="1:8" ht="22" customHeight="1">
      <c r="A33" s="47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A34" s="47"/>
      <c r="B34" s="2"/>
      <c r="C34" s="2"/>
      <c r="D34" s="2"/>
      <c r="E34" s="2"/>
      <c r="F34" s="2"/>
      <c r="G34" s="2"/>
      <c r="H34" s="2"/>
    </row>
    <row r="35" spans="1:8" ht="22.5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G30:H30"/>
    <mergeCell ref="B31:D31"/>
    <mergeCell ref="G31:H31"/>
    <mergeCell ref="A7:D8"/>
    <mergeCell ref="A24:E24"/>
    <mergeCell ref="A25:E25"/>
    <mergeCell ref="A26:E26"/>
    <mergeCell ref="A27:E27"/>
    <mergeCell ref="A28:E28"/>
    <mergeCell ref="G29:H29"/>
    <mergeCell ref="A18:E18"/>
    <mergeCell ref="A19:E19"/>
    <mergeCell ref="A20:E20"/>
    <mergeCell ref="A21:E21"/>
    <mergeCell ref="A22:E22"/>
    <mergeCell ref="A23:E23"/>
    <mergeCell ref="A17:E17"/>
    <mergeCell ref="A1:H2"/>
    <mergeCell ref="A13:B13"/>
    <mergeCell ref="C13:D13"/>
    <mergeCell ref="A15:E15"/>
    <mergeCell ref="A16:E16"/>
  </mergeCells>
  <phoneticPr fontId="2"/>
  <printOptions horizontalCentered="1"/>
  <pageMargins left="0.7" right="0.7" top="0.75" bottom="0.75" header="0.3" footer="0.3"/>
  <pageSetup paperSize="9" scale="96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A20A-5070-412F-9746-D9274F245FA4}">
  <dimension ref="A1:H38"/>
  <sheetViews>
    <sheetView showGridLines="0" showZeros="0" zoomScaleNormal="100" workbookViewId="0">
      <selection sqref="A1:H2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57" t="s">
        <v>29</v>
      </c>
      <c r="B1" s="57"/>
      <c r="C1" s="57"/>
      <c r="D1" s="57"/>
      <c r="E1" s="57"/>
      <c r="F1" s="57"/>
      <c r="G1" s="57"/>
      <c r="H1" s="57"/>
    </row>
    <row r="2" spans="1:8" ht="23.25" customHeight="1">
      <c r="A2" s="57"/>
      <c r="B2" s="57"/>
      <c r="C2" s="57"/>
      <c r="D2" s="57"/>
      <c r="E2" s="57"/>
      <c r="F2" s="57"/>
      <c r="G2" s="57"/>
      <c r="H2" s="57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8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8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8" ht="18.75" customHeight="1">
      <c r="A7" s="7" t="s">
        <v>22</v>
      </c>
      <c r="E7" s="8"/>
    </row>
    <row r="8" spans="1:8" ht="18.75" customHeight="1">
      <c r="A8" s="69" t="s">
        <v>32</v>
      </c>
      <c r="B8" s="69"/>
      <c r="C8" s="69"/>
      <c r="D8" s="69"/>
      <c r="E8" s="2"/>
      <c r="F8" s="34" t="s">
        <v>8</v>
      </c>
      <c r="G8" s="2"/>
      <c r="H8" s="2"/>
    </row>
    <row r="9" spans="1:8" ht="18.75" customHeight="1" thickBot="1">
      <c r="A9" s="70"/>
      <c r="B9" s="70"/>
      <c r="C9" s="70"/>
      <c r="D9" s="70"/>
      <c r="E9" s="2"/>
      <c r="F9" s="5" t="s">
        <v>11</v>
      </c>
      <c r="G9" s="5"/>
      <c r="H9" s="2"/>
    </row>
    <row r="10" spans="1:8" ht="18.75" customHeight="1">
      <c r="A10" s="77"/>
      <c r="B10" s="77"/>
      <c r="C10" s="77"/>
      <c r="D10" s="17"/>
      <c r="E10" s="2"/>
      <c r="F10" s="5" t="s">
        <v>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>
      <c r="A12" s="2" t="s">
        <v>31</v>
      </c>
      <c r="B12" s="2"/>
      <c r="C12" s="2"/>
      <c r="D12" s="2"/>
      <c r="E12" s="2"/>
      <c r="F12" s="5" t="s">
        <v>12</v>
      </c>
      <c r="G12" s="5" t="s">
        <v>43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6" t="s">
        <v>30</v>
      </c>
      <c r="B14" s="76"/>
      <c r="C14" s="75">
        <f>G32</f>
        <v>896500</v>
      </c>
      <c r="D14" s="75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71" t="s">
        <v>13</v>
      </c>
      <c r="B17" s="72"/>
      <c r="C17" s="72"/>
      <c r="D17" s="72"/>
      <c r="E17" s="7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4" t="s">
        <v>13</v>
      </c>
      <c r="B18" s="65"/>
      <c r="C18" s="65"/>
      <c r="D18" s="65"/>
      <c r="E18" s="65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4" t="s">
        <v>13</v>
      </c>
      <c r="B19" s="65"/>
      <c r="C19" s="65"/>
      <c r="D19" s="65"/>
      <c r="E19" s="65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4" t="s">
        <v>13</v>
      </c>
      <c r="B20" s="65"/>
      <c r="C20" s="65"/>
      <c r="D20" s="65"/>
      <c r="E20" s="65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4" t="s">
        <v>13</v>
      </c>
      <c r="B21" s="65"/>
      <c r="C21" s="65"/>
      <c r="D21" s="65"/>
      <c r="E21" s="65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58">
        <f>SUM(H17:H21)</f>
        <v>815000</v>
      </c>
      <c r="H30" s="58"/>
    </row>
    <row r="31" spans="1:8" ht="28.5" customHeight="1" thickBot="1">
      <c r="A31" s="16"/>
      <c r="B31" s="11"/>
      <c r="C31" s="2"/>
      <c r="D31" s="2"/>
      <c r="E31" s="2"/>
      <c r="F31" s="14" t="s">
        <v>16</v>
      </c>
      <c r="G31" s="59">
        <f>G30*0.1</f>
        <v>81500</v>
      </c>
      <c r="H31" s="59"/>
    </row>
    <row r="32" spans="1:8" ht="28.5" customHeight="1" thickBot="1">
      <c r="A32" s="12"/>
      <c r="B32" s="18"/>
      <c r="C32" s="18"/>
      <c r="D32" s="18"/>
      <c r="E32" s="2"/>
      <c r="F32" s="21" t="s">
        <v>17</v>
      </c>
      <c r="G32" s="78">
        <f>G30+G31</f>
        <v>896500</v>
      </c>
      <c r="H32" s="78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G30:H30"/>
    <mergeCell ref="G31:H31"/>
    <mergeCell ref="G32:H32"/>
    <mergeCell ref="A8:D9"/>
    <mergeCell ref="A24:E24"/>
    <mergeCell ref="A25:E25"/>
    <mergeCell ref="A26:E26"/>
    <mergeCell ref="A27:E27"/>
    <mergeCell ref="A28:E28"/>
    <mergeCell ref="A29:E29"/>
    <mergeCell ref="A18:E18"/>
    <mergeCell ref="A19:E19"/>
    <mergeCell ref="A20:E20"/>
    <mergeCell ref="A21:E21"/>
    <mergeCell ref="A22:E22"/>
    <mergeCell ref="A23:E23"/>
    <mergeCell ref="A17:E17"/>
    <mergeCell ref="A1:H2"/>
    <mergeCell ref="A10:C10"/>
    <mergeCell ref="A14:B14"/>
    <mergeCell ref="C14:D14"/>
    <mergeCell ref="A16:E16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390-5A84-46A7-899A-7A7D258B8FC5}">
  <dimension ref="A1:I38"/>
  <sheetViews>
    <sheetView showGridLines="0" showZeros="0" zoomScaleNormal="100" workbookViewId="0">
      <selection activeCell="C30" sqref="C30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9" ht="21" customHeight="1">
      <c r="A1" s="57" t="s">
        <v>33</v>
      </c>
      <c r="B1" s="57"/>
      <c r="C1" s="57"/>
      <c r="D1" s="57"/>
      <c r="E1" s="57"/>
      <c r="F1" s="57"/>
      <c r="G1" s="57"/>
      <c r="H1" s="57"/>
    </row>
    <row r="2" spans="1:9" ht="23.25" customHeight="1">
      <c r="A2" s="57"/>
      <c r="B2" s="57"/>
      <c r="C2" s="57"/>
      <c r="D2" s="57"/>
      <c r="E2" s="57"/>
      <c r="F2" s="57"/>
      <c r="G2" s="57"/>
      <c r="H2" s="57"/>
    </row>
    <row r="3" spans="1:9" ht="10" customHeight="1">
      <c r="A3" s="2"/>
      <c r="B3" s="2"/>
      <c r="C3" s="2"/>
      <c r="D3" s="2"/>
      <c r="E3" s="2"/>
      <c r="F3" s="2"/>
      <c r="G3" s="3"/>
      <c r="H3" s="4"/>
    </row>
    <row r="4" spans="1:9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9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9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9" ht="18.75" customHeight="1">
      <c r="A7" s="7" t="s">
        <v>22</v>
      </c>
      <c r="E7" s="8"/>
    </row>
    <row r="8" spans="1:9" ht="18.75" customHeight="1">
      <c r="A8" s="69" t="s">
        <v>32</v>
      </c>
      <c r="B8" s="69"/>
      <c r="C8" s="69"/>
      <c r="D8" s="69"/>
      <c r="E8" s="2"/>
      <c r="F8" s="34" t="s">
        <v>8</v>
      </c>
      <c r="G8" s="2"/>
      <c r="H8" s="2"/>
      <c r="I8" s="54"/>
    </row>
    <row r="9" spans="1:9" ht="18.75" customHeight="1" thickBot="1">
      <c r="A9" s="70"/>
      <c r="B9" s="70"/>
      <c r="C9" s="70"/>
      <c r="D9" s="70"/>
      <c r="E9" s="2"/>
      <c r="F9" s="5" t="s">
        <v>11</v>
      </c>
      <c r="G9" s="5"/>
      <c r="H9" s="2"/>
      <c r="I9" s="54"/>
    </row>
    <row r="10" spans="1:9" ht="18.75" customHeight="1">
      <c r="A10" s="77"/>
      <c r="B10" s="77"/>
      <c r="C10" s="77"/>
      <c r="D10" s="17"/>
      <c r="E10" s="2"/>
      <c r="F10" s="5" t="s">
        <v>9</v>
      </c>
      <c r="G10" s="5"/>
      <c r="H10" s="2"/>
      <c r="I10" s="54"/>
    </row>
    <row r="11" spans="1:9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  <c r="I11" s="54"/>
    </row>
    <row r="12" spans="1:9" ht="18">
      <c r="A12" s="2" t="s">
        <v>34</v>
      </c>
      <c r="B12" s="2"/>
      <c r="C12" s="2"/>
      <c r="D12" s="2"/>
      <c r="E12" s="2"/>
      <c r="F12" s="5" t="s">
        <v>12</v>
      </c>
      <c r="G12" s="5" t="s">
        <v>43</v>
      </c>
      <c r="H12" s="2"/>
    </row>
    <row r="13" spans="1:9" ht="12" customHeight="1" thickBot="1">
      <c r="A13" s="9"/>
      <c r="B13" s="2"/>
      <c r="C13" s="2"/>
      <c r="D13" s="2"/>
      <c r="E13" s="2"/>
      <c r="F13" s="2"/>
      <c r="G13" s="2"/>
      <c r="H13" s="2"/>
    </row>
    <row r="14" spans="1:9" s="1" customFormat="1" ht="34.5" customHeight="1" thickBot="1">
      <c r="A14" s="76" t="s">
        <v>30</v>
      </c>
      <c r="B14" s="76"/>
      <c r="C14" s="75">
        <f>G32</f>
        <v>896500</v>
      </c>
      <c r="D14" s="75"/>
      <c r="E14" s="10"/>
      <c r="F14" s="11"/>
      <c r="G14" s="53"/>
      <c r="H14" s="11"/>
    </row>
    <row r="15" spans="1:9" ht="20.25" customHeight="1">
      <c r="A15" s="2"/>
      <c r="B15" s="2"/>
      <c r="C15" s="2"/>
      <c r="D15" s="2"/>
      <c r="E15" s="2"/>
      <c r="F15" s="2"/>
      <c r="G15" s="2"/>
      <c r="H15" s="2"/>
    </row>
    <row r="16" spans="1:9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71" t="s">
        <v>13</v>
      </c>
      <c r="B17" s="72"/>
      <c r="C17" s="72"/>
      <c r="D17" s="72"/>
      <c r="E17" s="7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4" t="s">
        <v>13</v>
      </c>
      <c r="B18" s="65"/>
      <c r="C18" s="65"/>
      <c r="D18" s="65"/>
      <c r="E18" s="65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4" t="s">
        <v>13</v>
      </c>
      <c r="B19" s="65"/>
      <c r="C19" s="65"/>
      <c r="D19" s="65"/>
      <c r="E19" s="65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4" t="s">
        <v>13</v>
      </c>
      <c r="B20" s="65"/>
      <c r="C20" s="65"/>
      <c r="D20" s="65"/>
      <c r="E20" s="65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4" t="s">
        <v>13</v>
      </c>
      <c r="B21" s="65"/>
      <c r="C21" s="65"/>
      <c r="D21" s="65"/>
      <c r="E21" s="65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19"/>
      <c r="B30" s="19"/>
      <c r="C30" s="19"/>
      <c r="D30" s="19"/>
      <c r="E30" s="19"/>
      <c r="F30" s="13" t="s">
        <v>15</v>
      </c>
      <c r="G30" s="58">
        <f>SUM(H17:H21)</f>
        <v>815000</v>
      </c>
      <c r="H30" s="58"/>
    </row>
    <row r="31" spans="1:8" ht="28.5" customHeight="1" thickBot="1">
      <c r="A31" s="12"/>
      <c r="B31" s="12"/>
      <c r="C31" s="12"/>
      <c r="D31" s="12"/>
      <c r="E31" s="12"/>
      <c r="F31" s="14" t="s">
        <v>16</v>
      </c>
      <c r="G31" s="59">
        <f>G30*0.1</f>
        <v>81500</v>
      </c>
      <c r="H31" s="59"/>
    </row>
    <row r="32" spans="1:8" ht="28.5" customHeight="1" thickBot="1">
      <c r="A32" s="12"/>
      <c r="B32" s="12"/>
      <c r="C32" s="12"/>
      <c r="D32" s="12"/>
      <c r="E32" s="12"/>
      <c r="F32" s="21" t="s">
        <v>17</v>
      </c>
      <c r="G32" s="78">
        <f>G30+G31</f>
        <v>896500</v>
      </c>
      <c r="H32" s="78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A29:E29"/>
    <mergeCell ref="G30:H30"/>
    <mergeCell ref="G31:H31"/>
    <mergeCell ref="G32:H32"/>
    <mergeCell ref="A23:E23"/>
    <mergeCell ref="A24:E24"/>
    <mergeCell ref="A25:E25"/>
    <mergeCell ref="A26:E26"/>
    <mergeCell ref="A27:E27"/>
    <mergeCell ref="A28:E28"/>
    <mergeCell ref="A22:E22"/>
    <mergeCell ref="A1:H2"/>
    <mergeCell ref="A8:D9"/>
    <mergeCell ref="A10:C10"/>
    <mergeCell ref="A14:B14"/>
    <mergeCell ref="C14:D14"/>
    <mergeCell ref="A16:E16"/>
    <mergeCell ref="A17:E17"/>
    <mergeCell ref="A18:E18"/>
    <mergeCell ref="A19:E19"/>
    <mergeCell ref="A20:E20"/>
    <mergeCell ref="A21:E2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371-651E-49B5-BA3B-744A93356F7A}">
  <dimension ref="A1:J18"/>
  <sheetViews>
    <sheetView showGridLines="0" showZeros="0" zoomScaleNormal="100" workbookViewId="0">
      <selection activeCell="K8" sqref="K8"/>
    </sheetView>
  </sheetViews>
  <sheetFormatPr baseColWidth="10" defaultColWidth="8.83203125" defaultRowHeight="14"/>
  <cols>
    <col min="1" max="10" width="8.33203125" customWidth="1"/>
    <col min="11" max="11" width="6.83203125" customWidth="1"/>
    <col min="12" max="13" width="10.6640625" customWidth="1"/>
  </cols>
  <sheetData>
    <row r="1" spans="1:10" ht="20" customHeight="1">
      <c r="A1" s="57" t="s">
        <v>46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0" customHeight="1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ht="28.5" customHeight="1">
      <c r="A3" s="81" t="s">
        <v>32</v>
      </c>
      <c r="B3" s="81"/>
      <c r="C3" s="81"/>
      <c r="D3" s="81"/>
      <c r="E3" s="81"/>
      <c r="F3" s="2"/>
      <c r="G3" s="2"/>
      <c r="H3" s="25" t="s">
        <v>35</v>
      </c>
      <c r="I3" s="86">
        <v>123456</v>
      </c>
      <c r="J3" s="86"/>
    </row>
    <row r="4" spans="1:10" ht="25.5" customHeight="1" thickBot="1">
      <c r="A4" s="82"/>
      <c r="B4" s="82"/>
      <c r="C4" s="82"/>
      <c r="D4" s="82"/>
      <c r="E4" s="82"/>
      <c r="F4" s="2"/>
      <c r="G4" s="2"/>
      <c r="H4" s="2"/>
      <c r="I4" s="2"/>
      <c r="J4" s="2"/>
    </row>
    <row r="5" spans="1:10" ht="22.5" customHeight="1" thickBot="1">
      <c r="A5" s="9"/>
      <c r="B5" s="2"/>
      <c r="C5" s="2"/>
      <c r="D5" s="2"/>
      <c r="E5" s="2"/>
      <c r="F5" s="2"/>
      <c r="G5" s="2"/>
      <c r="H5" s="2"/>
      <c r="I5" s="2"/>
      <c r="J5" s="2"/>
    </row>
    <row r="6" spans="1:10" ht="46.5" customHeight="1" thickBot="1">
      <c r="A6" s="2"/>
      <c r="B6" s="2"/>
      <c r="C6" s="29" t="s">
        <v>38</v>
      </c>
      <c r="D6" s="80">
        <v>123456</v>
      </c>
      <c r="E6" s="80"/>
      <c r="F6" s="80"/>
      <c r="G6" s="80"/>
      <c r="H6" s="30"/>
      <c r="I6" s="2"/>
      <c r="J6" s="2"/>
    </row>
    <row r="7" spans="1:10" s="2" customFormat="1" ht="25.5" customHeight="1">
      <c r="C7" s="26" t="s">
        <v>36</v>
      </c>
      <c r="D7" s="87"/>
      <c r="E7" s="87"/>
      <c r="F7" s="87"/>
      <c r="G7" s="87"/>
      <c r="H7" s="87"/>
    </row>
    <row r="8" spans="1:10" s="2" customFormat="1" ht="25.5" customHeight="1">
      <c r="C8" s="27" t="s">
        <v>44</v>
      </c>
      <c r="D8" s="24"/>
      <c r="E8" s="88">
        <v>44316</v>
      </c>
      <c r="F8" s="88"/>
      <c r="G8" s="88"/>
      <c r="H8" s="88"/>
    </row>
    <row r="9" spans="1:10" ht="24.75" customHeight="1">
      <c r="A9" s="2"/>
      <c r="B9" s="2"/>
      <c r="C9" s="83" t="s">
        <v>37</v>
      </c>
      <c r="D9" s="83"/>
      <c r="E9" s="83"/>
      <c r="F9" s="83"/>
      <c r="G9" s="83"/>
      <c r="H9" s="83"/>
      <c r="I9" s="2"/>
      <c r="J9" s="2"/>
    </row>
    <row r="10" spans="1:10" ht="12.75" customHeight="1">
      <c r="A10" s="28"/>
      <c r="B10" s="2"/>
      <c r="C10" s="2"/>
      <c r="D10" s="2"/>
      <c r="F10" s="23"/>
      <c r="G10" s="5"/>
      <c r="H10" s="5"/>
      <c r="I10" s="5"/>
      <c r="J10" s="5"/>
    </row>
    <row r="11" spans="1:10" ht="20" customHeight="1">
      <c r="A11" s="31"/>
      <c r="B11" s="32"/>
      <c r="C11" s="32"/>
      <c r="D11" s="2"/>
      <c r="F11" s="85" t="s">
        <v>8</v>
      </c>
      <c r="G11" s="85"/>
      <c r="H11" s="85"/>
      <c r="I11" s="85"/>
      <c r="J11" s="85"/>
    </row>
    <row r="12" spans="1:10" ht="20" customHeight="1">
      <c r="A12" s="31" t="s">
        <v>41</v>
      </c>
      <c r="B12" s="32"/>
      <c r="C12" s="32"/>
      <c r="D12" s="2"/>
      <c r="F12" s="84" t="s">
        <v>40</v>
      </c>
      <c r="G12" s="84"/>
      <c r="H12" s="84"/>
      <c r="I12" s="84"/>
      <c r="J12" s="84"/>
    </row>
    <row r="13" spans="1:10" ht="20" customHeight="1">
      <c r="A13" s="33" t="s">
        <v>42</v>
      </c>
      <c r="B13" s="79"/>
      <c r="C13" s="79"/>
      <c r="D13" s="2"/>
      <c r="F13" s="5" t="s">
        <v>39</v>
      </c>
      <c r="G13" s="5"/>
      <c r="H13" s="5"/>
      <c r="I13" s="5"/>
      <c r="J13" s="5"/>
    </row>
    <row r="14" spans="1:10" ht="20" customHeight="1">
      <c r="A14" s="22" t="s">
        <v>47</v>
      </c>
      <c r="B14" s="79"/>
      <c r="C14" s="79"/>
      <c r="D14" s="2"/>
      <c r="F14" s="5" t="s">
        <v>45</v>
      </c>
      <c r="G14" s="5"/>
      <c r="H14" s="5"/>
      <c r="I14" s="5"/>
      <c r="J14" s="5"/>
    </row>
    <row r="15" spans="1:10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2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1">
    <mergeCell ref="B13:C13"/>
    <mergeCell ref="B14:C14"/>
    <mergeCell ref="A1:J2"/>
    <mergeCell ref="D6:G6"/>
    <mergeCell ref="A3:E4"/>
    <mergeCell ref="C9:H9"/>
    <mergeCell ref="F12:J12"/>
    <mergeCell ref="F11:J11"/>
    <mergeCell ref="I3:J3"/>
    <mergeCell ref="D7:H7"/>
    <mergeCell ref="E8:H8"/>
  </mergeCells>
  <phoneticPr fontId="2"/>
  <printOptions horizontalCentered="1"/>
  <pageMargins left="0.35433070866141736" right="0.35433070866141736" top="0.35433070866141736" bottom="0.35433070866141736" header="0.31496062992125984" footer="0.31496062992125984"/>
  <pageSetup paperSize="13" orientation="portrait" horizontalDpi="4294967293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請求書 1 Excel</TPFriendlyName>
    <NumericId xmlns="1119c2e5-8fb9-4d5f-baf1-202c530f2c34">-1</NumericId>
    <BusinessGroup xmlns="1119c2e5-8fb9-4d5f-baf1-202c530f2c34" xsi:nil="true"/>
    <SourceTitle xmlns="1119c2e5-8fb9-4d5f-baf1-202c530f2c34">請求書 1 Excel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337945</Value>
      <Value>451418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2010-01-26T04:16:36+00:00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TP010378475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49989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Props1.xml><?xml version="1.0" encoding="utf-8"?>
<ds:datastoreItem xmlns:ds="http://schemas.openxmlformats.org/officeDocument/2006/customXml" ds:itemID="{9659279B-CA79-44FF-BF15-83F6AAD0C4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70CA04-6118-4D7D-973A-6229EC59A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B99CB1-8E2B-4A06-BE97-F0CCC71A7538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TM10378475</Templat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請求書</vt:lpstr>
      <vt:lpstr>見積書</vt:lpstr>
      <vt:lpstr>納品書</vt:lpstr>
      <vt:lpstr>発注書</vt:lpstr>
      <vt:lpstr>領収書</vt:lpstr>
      <vt:lpstr>見積書!Print_Area</vt:lpstr>
      <vt:lpstr>請求書!Print_Area</vt:lpstr>
      <vt:lpstr>納品書!Print_Area</vt:lpstr>
      <vt:lpstr>発注書!Print_Area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請求書 1 Excel</dc:title>
  <dc:subject/>
  <dc:creator>YOSHIMI</dc:creator>
  <cp:keywords/>
  <dc:description/>
  <cp:lastModifiedBy>知香子 桾</cp:lastModifiedBy>
  <cp:lastPrinted>2025-10-11T02:58:49Z</cp:lastPrinted>
  <dcterms:created xsi:type="dcterms:W3CDTF">2003-03-19T15:00:00Z</dcterms:created>
  <dcterms:modified xsi:type="dcterms:W3CDTF">2025-10-11T02:59:12Z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11715300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