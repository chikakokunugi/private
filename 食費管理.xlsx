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kakokunugi/Documents/GitHub/private/"/>
    </mc:Choice>
  </mc:AlternateContent>
  <xr:revisionPtr revIDLastSave="0" documentId="13_ncr:1_{B8ACD7EE-C639-B845-BA9B-50C4D9892838}" xr6:coauthVersionLast="47" xr6:coauthVersionMax="47" xr10:uidLastSave="{00000000-0000-0000-0000-000000000000}"/>
  <bookViews>
    <workbookView xWindow="12480" yWindow="-21100" windowWidth="51200" windowHeight="21100" xr2:uid="{5ADCA34B-F2F3-F64B-968C-E82E669C3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1" l="1"/>
  <c r="H74" i="1"/>
  <c r="F15" i="1"/>
  <c r="F14" i="1"/>
  <c r="H15" i="1"/>
  <c r="H14" i="1"/>
  <c r="F7" i="1"/>
  <c r="F13" i="1"/>
  <c r="F21" i="1"/>
</calcChain>
</file>

<file path=xl/sharedStrings.xml><?xml version="1.0" encoding="utf-8"?>
<sst xmlns="http://schemas.openxmlformats.org/spreadsheetml/2006/main" count="294" uniqueCount="132">
  <si>
    <t>キャベツ</t>
    <phoneticPr fontId="1"/>
  </si>
  <si>
    <t>1玉</t>
    <rPh sb="1" eb="2">
      <t>🏈</t>
    </rPh>
    <phoneticPr fontId="1"/>
  </si>
  <si>
    <t>にんじん</t>
    <phoneticPr fontId="1"/>
  </si>
  <si>
    <t>2本</t>
    <rPh sb="1" eb="2">
      <t>ホn</t>
    </rPh>
    <phoneticPr fontId="1"/>
  </si>
  <si>
    <t>ピーマン</t>
    <phoneticPr fontId="1"/>
  </si>
  <si>
    <t>6個</t>
    <rPh sb="1" eb="2">
      <t xml:space="preserve">コ </t>
    </rPh>
    <phoneticPr fontId="1"/>
  </si>
  <si>
    <t>白ネギ</t>
    <rPh sb="0" eb="1">
      <t>シロ</t>
    </rPh>
    <phoneticPr fontId="1"/>
  </si>
  <si>
    <t>きゅうり</t>
    <phoneticPr fontId="1"/>
  </si>
  <si>
    <t>セロリ</t>
    <phoneticPr fontId="1"/>
  </si>
  <si>
    <t>長芋</t>
    <rPh sb="0" eb="2">
      <t>ナガイ</t>
    </rPh>
    <phoneticPr fontId="1"/>
  </si>
  <si>
    <t>しいたけ</t>
    <phoneticPr fontId="1"/>
  </si>
  <si>
    <t>りんご</t>
    <phoneticPr fontId="1"/>
  </si>
  <si>
    <t>1個</t>
    <rPh sb="1" eb="2">
      <t xml:space="preserve">コ </t>
    </rPh>
    <phoneticPr fontId="1"/>
  </si>
  <si>
    <t>豚ロース</t>
    <rPh sb="0" eb="1">
      <t>ブタロ</t>
    </rPh>
    <phoneticPr fontId="1"/>
  </si>
  <si>
    <t>豚ロース</t>
    <phoneticPr fontId="1"/>
  </si>
  <si>
    <t>もも肉</t>
    <phoneticPr fontId="1"/>
  </si>
  <si>
    <t>手羽元</t>
    <rPh sb="0" eb="3">
      <t>テバモト</t>
    </rPh>
    <phoneticPr fontId="1"/>
  </si>
  <si>
    <t>肩肉(ふりそで)</t>
    <rPh sb="0" eb="2">
      <t>カタ</t>
    </rPh>
    <phoneticPr fontId="1"/>
  </si>
  <si>
    <t>せせり</t>
    <phoneticPr fontId="1"/>
  </si>
  <si>
    <t>合い挽きミンチ</t>
    <rPh sb="0" eb="1">
      <t>アイビキ</t>
    </rPh>
    <phoneticPr fontId="1"/>
  </si>
  <si>
    <t>ホットケーキミックス</t>
    <phoneticPr fontId="1"/>
  </si>
  <si>
    <t>200g3個</t>
    <rPh sb="5" eb="6">
      <t xml:space="preserve">コ </t>
    </rPh>
    <phoneticPr fontId="1"/>
  </si>
  <si>
    <t>367g</t>
    <phoneticPr fontId="1"/>
  </si>
  <si>
    <t>388g</t>
    <phoneticPr fontId="1"/>
  </si>
  <si>
    <t>531g</t>
    <phoneticPr fontId="1"/>
  </si>
  <si>
    <t>679g</t>
    <phoneticPr fontId="1"/>
  </si>
  <si>
    <t>943g</t>
    <phoneticPr fontId="1"/>
  </si>
  <si>
    <t>メイン</t>
    <phoneticPr fontId="1"/>
  </si>
  <si>
    <t>副菜</t>
    <rPh sb="0" eb="2">
      <t>フクサイ</t>
    </rPh>
    <phoneticPr fontId="1"/>
  </si>
  <si>
    <t>8個</t>
    <rPh sb="1" eb="2">
      <t xml:space="preserve">コ </t>
    </rPh>
    <phoneticPr fontId="1"/>
  </si>
  <si>
    <t>1本</t>
    <rPh sb="1" eb="2">
      <t>ホn</t>
    </rPh>
    <phoneticPr fontId="1"/>
  </si>
  <si>
    <t>3本</t>
    <rPh sb="1" eb="2">
      <t>ホn</t>
    </rPh>
    <phoneticPr fontId="1"/>
  </si>
  <si>
    <t>卵</t>
    <rPh sb="0" eb="1">
      <t>タマゴ</t>
    </rPh>
    <phoneticPr fontId="1"/>
  </si>
  <si>
    <t>10個</t>
    <rPh sb="2" eb="3">
      <t xml:space="preserve">コ </t>
    </rPh>
    <phoneticPr fontId="1"/>
  </si>
  <si>
    <t>唐揚げ</t>
    <rPh sb="0" eb="2">
      <t>カラアゲ</t>
    </rPh>
    <phoneticPr fontId="1"/>
  </si>
  <si>
    <t>食材</t>
    <rPh sb="0" eb="2">
      <t>ショクザイ</t>
    </rPh>
    <phoneticPr fontId="1"/>
  </si>
  <si>
    <t>惣菜</t>
    <rPh sb="0" eb="2">
      <t>ソウザイ</t>
    </rPh>
    <phoneticPr fontId="1"/>
  </si>
  <si>
    <t>モッツェレラチーズ</t>
    <phoneticPr fontId="1"/>
  </si>
  <si>
    <t>ミニトマト</t>
    <phoneticPr fontId="1"/>
  </si>
  <si>
    <t>アボカド</t>
    <phoneticPr fontId="1"/>
  </si>
  <si>
    <t>朝</t>
    <rPh sb="0" eb="1">
      <t>アサ</t>
    </rPh>
    <phoneticPr fontId="1"/>
  </si>
  <si>
    <t>夜</t>
    <rPh sb="0" eb="1">
      <t>ヨル</t>
    </rPh>
    <phoneticPr fontId="1"/>
  </si>
  <si>
    <t>間</t>
    <rPh sb="0" eb="1">
      <t>アイダ</t>
    </rPh>
    <phoneticPr fontId="1"/>
  </si>
  <si>
    <t>たけのこ</t>
    <phoneticPr fontId="1"/>
  </si>
  <si>
    <t>青椒肉絲</t>
    <rPh sb="0" eb="4">
      <t>チンジャオ</t>
    </rPh>
    <phoneticPr fontId="1"/>
  </si>
  <si>
    <t>食材</t>
    <rPh sb="0" eb="1">
      <t>ショクザイ</t>
    </rPh>
    <phoneticPr fontId="1"/>
  </si>
  <si>
    <t>ピザチーズ</t>
    <phoneticPr fontId="1"/>
  </si>
  <si>
    <t>450g</t>
    <phoneticPr fontId="1"/>
  </si>
  <si>
    <t>ウイスキー</t>
    <phoneticPr fontId="1"/>
  </si>
  <si>
    <t>酒</t>
    <rPh sb="0" eb="1">
      <t>サケ</t>
    </rPh>
    <phoneticPr fontId="1"/>
  </si>
  <si>
    <t>1920ml</t>
    <phoneticPr fontId="1"/>
  </si>
  <si>
    <t>惣菜</t>
    <rPh sb="0" eb="1">
      <t>ソウザイ</t>
    </rPh>
    <phoneticPr fontId="1"/>
  </si>
  <si>
    <t>山芋豆腐</t>
    <rPh sb="0" eb="4">
      <t>ヤマイ</t>
    </rPh>
    <phoneticPr fontId="1"/>
  </si>
  <si>
    <t>ピンクグレープフルーツサワーの素</t>
    <rPh sb="15" eb="16">
      <t xml:space="preserve">モト </t>
    </rPh>
    <phoneticPr fontId="1"/>
  </si>
  <si>
    <t>イカ</t>
    <phoneticPr fontId="1"/>
  </si>
  <si>
    <t>おもてなし</t>
    <phoneticPr fontId="1"/>
  </si>
  <si>
    <t>えび</t>
    <phoneticPr fontId="1"/>
  </si>
  <si>
    <t>調味料・粉類</t>
    <rPh sb="0" eb="3">
      <t>チョウミリョウ</t>
    </rPh>
    <rPh sb="4" eb="6">
      <t>コナルイ</t>
    </rPh>
    <phoneticPr fontId="1"/>
  </si>
  <si>
    <t>小麦粉</t>
    <rPh sb="0" eb="3">
      <t>コムギ</t>
    </rPh>
    <phoneticPr fontId="1"/>
  </si>
  <si>
    <t>納豆</t>
    <rPh sb="0" eb="2">
      <t>ナットウ</t>
    </rPh>
    <phoneticPr fontId="1"/>
  </si>
  <si>
    <t>家族</t>
    <rPh sb="0" eb="2">
      <t>カゾク</t>
    </rPh>
    <phoneticPr fontId="1"/>
  </si>
  <si>
    <t>白だし</t>
    <phoneticPr fontId="1"/>
  </si>
  <si>
    <t>もろみ味噌100g</t>
    <phoneticPr fontId="1"/>
  </si>
  <si>
    <t>トック</t>
    <phoneticPr fontId="1"/>
  </si>
  <si>
    <t>にら</t>
    <phoneticPr fontId="1"/>
  </si>
  <si>
    <t>味噌汁の具</t>
    <rPh sb="0" eb="3">
      <t>ミソシル</t>
    </rPh>
    <phoneticPr fontId="1"/>
  </si>
  <si>
    <t>糸唐辛子</t>
    <phoneticPr fontId="1"/>
  </si>
  <si>
    <t>いりごま白</t>
    <rPh sb="4" eb="5">
      <t xml:space="preserve">シロ </t>
    </rPh>
    <phoneticPr fontId="1"/>
  </si>
  <si>
    <t>コチュジャン</t>
    <phoneticPr fontId="1"/>
  </si>
  <si>
    <t>2個</t>
    <rPh sb="1" eb="2">
      <t xml:space="preserve">コ </t>
    </rPh>
    <phoneticPr fontId="1"/>
  </si>
  <si>
    <t>昼</t>
    <rPh sb="0" eb="1">
      <t>ヒル</t>
    </rPh>
    <phoneticPr fontId="1"/>
  </si>
  <si>
    <t xml:space="preserve">チーズタッカルビ </t>
    <phoneticPr fontId="1"/>
  </si>
  <si>
    <t>チヂミ</t>
    <phoneticPr fontId="1"/>
  </si>
  <si>
    <t>もろみ味噌きゅうり</t>
    <phoneticPr fontId="1"/>
  </si>
  <si>
    <t>キャベツ・鶏肉鍋</t>
    <rPh sb="5" eb="6">
      <t>トリニク</t>
    </rPh>
    <rPh sb="6" eb="7">
      <t>ニク</t>
    </rPh>
    <rPh sb="7" eb="8">
      <t>ナベ</t>
    </rPh>
    <phoneticPr fontId="1"/>
  </si>
  <si>
    <t>デザート</t>
    <phoneticPr fontId="1"/>
  </si>
  <si>
    <t>キャベツ鶏肉鍋</t>
    <rPh sb="6" eb="7">
      <t>ナベ</t>
    </rPh>
    <phoneticPr fontId="1"/>
  </si>
  <si>
    <t>ピーマンの肉詰め</t>
    <rPh sb="5" eb="7">
      <t>ニク</t>
    </rPh>
    <phoneticPr fontId="1"/>
  </si>
  <si>
    <t>おやつ</t>
    <phoneticPr fontId="1"/>
  </si>
  <si>
    <t>チョコレート</t>
    <phoneticPr fontId="1"/>
  </si>
  <si>
    <t>セブンコーヒー</t>
    <phoneticPr fontId="1"/>
  </si>
  <si>
    <t>病院付き添い</t>
    <rPh sb="0" eb="3">
      <t>ビョウイn</t>
    </rPh>
    <phoneticPr fontId="1"/>
  </si>
  <si>
    <t>外食</t>
    <rPh sb="0" eb="2">
      <t>ガイショク</t>
    </rPh>
    <phoneticPr fontId="1"/>
  </si>
  <si>
    <t>パスタランチ2人で</t>
    <rPh sb="7" eb="8">
      <t>ヒト</t>
    </rPh>
    <phoneticPr fontId="1"/>
  </si>
  <si>
    <t>パスタランチ</t>
    <phoneticPr fontId="1"/>
  </si>
  <si>
    <t>卵サンド</t>
    <rPh sb="0" eb="1">
      <t xml:space="preserve">タマゴサンド </t>
    </rPh>
    <phoneticPr fontId="1"/>
  </si>
  <si>
    <t>食パン10枚切り</t>
    <rPh sb="0" eb="1">
      <t>ショクパn</t>
    </rPh>
    <rPh sb="5" eb="7">
      <t>マイギリ</t>
    </rPh>
    <phoneticPr fontId="1"/>
  </si>
  <si>
    <t>ブロッコリー冷凍</t>
    <rPh sb="6" eb="8">
      <t>レイトウ</t>
    </rPh>
    <phoneticPr fontId="1"/>
  </si>
  <si>
    <t>卵サンド</t>
    <rPh sb="0" eb="1">
      <t>タマゴ</t>
    </rPh>
    <phoneticPr fontId="1"/>
  </si>
  <si>
    <t>COSORI</t>
    <phoneticPr fontId="1"/>
  </si>
  <si>
    <t>日</t>
    <rPh sb="0" eb="1">
      <t>ニティ</t>
    </rPh>
    <phoneticPr fontId="1"/>
  </si>
  <si>
    <t>COSORI 椎茸のチーズ焼き</t>
    <rPh sb="7" eb="9">
      <t>シイタケ</t>
    </rPh>
    <phoneticPr fontId="1"/>
  </si>
  <si>
    <t>トマト</t>
    <phoneticPr fontId="1"/>
  </si>
  <si>
    <t>トマトソース</t>
    <phoneticPr fontId="1"/>
  </si>
  <si>
    <t>昆布だし</t>
    <rPh sb="0" eb="2">
      <t>コンブダセィ</t>
    </rPh>
    <phoneticPr fontId="1"/>
  </si>
  <si>
    <t>豚肉ブロック</t>
    <rPh sb="0" eb="1">
      <t>ロース</t>
    </rPh>
    <phoneticPr fontId="1"/>
  </si>
  <si>
    <t>リングイネ</t>
    <phoneticPr fontId="1"/>
  </si>
  <si>
    <t>母土産</t>
    <rPh sb="0" eb="3">
      <t>ハハ</t>
    </rPh>
    <phoneticPr fontId="1"/>
  </si>
  <si>
    <t>お試し調理</t>
    <rPh sb="0" eb="1">
      <t>モテナシ</t>
    </rPh>
    <phoneticPr fontId="1"/>
  </si>
  <si>
    <t>アボカドベーコン卵丼</t>
    <rPh sb="8" eb="9">
      <t>タマゴ</t>
    </rPh>
    <rPh sb="9" eb="10">
      <t>ドンブリ</t>
    </rPh>
    <phoneticPr fontId="1"/>
  </si>
  <si>
    <t>チャプチェ</t>
    <phoneticPr fontId="1"/>
  </si>
  <si>
    <t>和風ポトフ</t>
    <rPh sb="0" eb="2">
      <t>ワフウ</t>
    </rPh>
    <phoneticPr fontId="1"/>
  </si>
  <si>
    <t>長芋ステーキ</t>
    <rPh sb="0" eb="2">
      <t>ナガイ</t>
    </rPh>
    <phoneticPr fontId="1"/>
  </si>
  <si>
    <t>ポトフ</t>
    <phoneticPr fontId="1"/>
  </si>
  <si>
    <t>使い切り</t>
    <rPh sb="0" eb="1">
      <t>ツカイ</t>
    </rPh>
    <phoneticPr fontId="1"/>
  </si>
  <si>
    <t>豚ブロック</t>
    <phoneticPr fontId="1"/>
  </si>
  <si>
    <t>とんかつ</t>
    <phoneticPr fontId="1"/>
  </si>
  <si>
    <t>オリーブオイル</t>
    <phoneticPr fontId="1"/>
  </si>
  <si>
    <t>日清油</t>
    <rPh sb="0" eb="2">
      <t>ニッセィ</t>
    </rPh>
    <rPh sb="2" eb="3">
      <t>アブラ</t>
    </rPh>
    <phoneticPr fontId="1"/>
  </si>
  <si>
    <t>醤油</t>
    <rPh sb="0" eb="2">
      <t>ショウユ</t>
    </rPh>
    <phoneticPr fontId="1"/>
  </si>
  <si>
    <t>マルゲリータ</t>
    <phoneticPr fontId="1"/>
  </si>
  <si>
    <t>イタリアンドレッシング</t>
    <phoneticPr fontId="1"/>
  </si>
  <si>
    <t>料理酒</t>
    <rPh sb="0" eb="3">
      <t>リョウ</t>
    </rPh>
    <phoneticPr fontId="1"/>
  </si>
  <si>
    <t>ごま油ドレッシング</t>
    <phoneticPr fontId="1"/>
  </si>
  <si>
    <t>椎茸</t>
    <rPh sb="0" eb="2">
      <t>シイタケ</t>
    </rPh>
    <phoneticPr fontId="1"/>
  </si>
  <si>
    <t>舞茸</t>
    <rPh sb="0" eb="2">
      <t>マイタケ</t>
    </rPh>
    <phoneticPr fontId="1"/>
  </si>
  <si>
    <t>鮭冷凍2枚</t>
    <rPh sb="1" eb="3">
      <t>レイトウ</t>
    </rPh>
    <rPh sb="4" eb="5">
      <t>マイ</t>
    </rPh>
    <phoneticPr fontId="1"/>
  </si>
  <si>
    <t>ポテト1kg</t>
    <phoneticPr fontId="1"/>
  </si>
  <si>
    <t>スペアリブ</t>
    <phoneticPr fontId="1"/>
  </si>
  <si>
    <t>寿司</t>
    <rPh sb="0" eb="2">
      <t>スセィ</t>
    </rPh>
    <phoneticPr fontId="1"/>
  </si>
  <si>
    <t>チキン</t>
    <phoneticPr fontId="1"/>
  </si>
  <si>
    <t>納豆2セット</t>
    <rPh sb="0" eb="1">
      <t>ナットウ</t>
    </rPh>
    <phoneticPr fontId="1"/>
  </si>
  <si>
    <t>カニカマ</t>
    <phoneticPr fontId="1"/>
  </si>
  <si>
    <t>ピザ</t>
    <phoneticPr fontId="1"/>
  </si>
  <si>
    <t>ブロックベーコン</t>
    <phoneticPr fontId="1"/>
  </si>
  <si>
    <t>ベーコン</t>
    <phoneticPr fontId="1"/>
  </si>
  <si>
    <t>アイスクリーム</t>
    <phoneticPr fontId="1"/>
  </si>
  <si>
    <t>冷凍ブロッコリー500g</t>
    <rPh sb="0" eb="2">
      <t>レイトウ</t>
    </rPh>
    <phoneticPr fontId="1"/>
  </si>
  <si>
    <t>食パン6枚切り</t>
    <rPh sb="4" eb="6">
      <t>マイギリ</t>
    </rPh>
    <phoneticPr fontId="1"/>
  </si>
  <si>
    <t>卵10こ</t>
    <rPh sb="0" eb="1">
      <t>タマゴ</t>
    </rPh>
    <phoneticPr fontId="1"/>
  </si>
  <si>
    <t>おかし(バタークッキー)</t>
    <phoneticPr fontId="1"/>
  </si>
  <si>
    <t>菓子</t>
    <rPh sb="0" eb="2">
      <t xml:space="preserve">カシコマリマシタ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</si>
</sst>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886B-489A-A749-8CA4-CE2E00F465B3}">
  <dimension ref="A1:M87"/>
  <sheetViews>
    <sheetView tabSelected="1" topLeftCell="A65" workbookViewId="0">
      <selection activeCell="D76" sqref="D76"/>
    </sheetView>
  </sheetViews>
  <sheetFormatPr baseColWidth="10" defaultRowHeight="20"/>
  <cols>
    <col min="2" max="2" width="7.7109375" customWidth="1"/>
    <col min="3" max="3" width="13.28515625" customWidth="1"/>
    <col min="4" max="4" width="5.85546875" customWidth="1"/>
    <col min="5" max="5" width="18.7109375" customWidth="1"/>
    <col min="6" max="6" width="13.28515625" style="2" customWidth="1"/>
    <col min="7" max="7" width="21.85546875" customWidth="1"/>
  </cols>
  <sheetData>
    <row r="1" spans="1:13">
      <c r="L1" t="s">
        <v>27</v>
      </c>
      <c r="M1" t="s">
        <v>28</v>
      </c>
    </row>
    <row r="2" spans="1:13">
      <c r="A2" s="1">
        <v>45983</v>
      </c>
      <c r="B2" s="1" t="s">
        <v>35</v>
      </c>
      <c r="C2" s="1">
        <v>45986</v>
      </c>
      <c r="D2" s="1" t="s">
        <v>70</v>
      </c>
      <c r="E2" s="1" t="s">
        <v>55</v>
      </c>
      <c r="F2" s="2">
        <v>40</v>
      </c>
      <c r="G2" t="s">
        <v>0</v>
      </c>
      <c r="H2">
        <v>40</v>
      </c>
      <c r="I2" t="s">
        <v>1</v>
      </c>
    </row>
    <row r="3" spans="1:13">
      <c r="A3" s="1">
        <v>45983</v>
      </c>
      <c r="B3" s="1" t="s">
        <v>35</v>
      </c>
      <c r="C3" s="1">
        <v>45988</v>
      </c>
      <c r="D3" s="1" t="s">
        <v>41</v>
      </c>
      <c r="E3" s="1" t="s">
        <v>74</v>
      </c>
      <c r="F3" s="2">
        <v>60</v>
      </c>
      <c r="G3" t="s">
        <v>0</v>
      </c>
      <c r="H3">
        <v>60</v>
      </c>
      <c r="I3" t="s">
        <v>1</v>
      </c>
    </row>
    <row r="4" spans="1:13">
      <c r="A4" s="1">
        <v>45983</v>
      </c>
      <c r="B4" s="1" t="s">
        <v>35</v>
      </c>
      <c r="C4" s="1">
        <v>45997</v>
      </c>
      <c r="D4" s="1" t="s">
        <v>70</v>
      </c>
      <c r="E4" s="1" t="s">
        <v>100</v>
      </c>
      <c r="G4" t="s">
        <v>2</v>
      </c>
      <c r="H4">
        <v>159</v>
      </c>
      <c r="I4" t="s">
        <v>3</v>
      </c>
    </row>
    <row r="5" spans="1:13">
      <c r="A5" s="1">
        <v>45983</v>
      </c>
      <c r="B5" s="1" t="s">
        <v>35</v>
      </c>
      <c r="C5" s="1">
        <v>45984</v>
      </c>
      <c r="D5" s="1" t="s">
        <v>41</v>
      </c>
      <c r="E5" s="1" t="s">
        <v>44</v>
      </c>
      <c r="F5" s="2">
        <v>258</v>
      </c>
      <c r="G5" t="s">
        <v>4</v>
      </c>
      <c r="H5">
        <v>258</v>
      </c>
      <c r="I5" t="s">
        <v>5</v>
      </c>
    </row>
    <row r="6" spans="1:13">
      <c r="A6" s="1">
        <v>45983</v>
      </c>
      <c r="B6" s="1" t="s">
        <v>35</v>
      </c>
      <c r="C6" s="1">
        <v>45994</v>
      </c>
      <c r="D6" s="1"/>
      <c r="E6" s="1" t="s">
        <v>104</v>
      </c>
      <c r="G6" t="s">
        <v>6</v>
      </c>
      <c r="H6">
        <v>159</v>
      </c>
      <c r="I6" t="s">
        <v>3</v>
      </c>
    </row>
    <row r="7" spans="1:13">
      <c r="A7" s="1">
        <v>45983</v>
      </c>
      <c r="B7" s="1" t="s">
        <v>35</v>
      </c>
      <c r="C7" s="1">
        <v>45987</v>
      </c>
      <c r="D7" s="1" t="s">
        <v>70</v>
      </c>
      <c r="E7" s="1" t="s">
        <v>73</v>
      </c>
      <c r="F7" s="2">
        <f>199/3*2</f>
        <v>132.66666666666666</v>
      </c>
      <c r="G7" t="s">
        <v>7</v>
      </c>
      <c r="H7">
        <v>199</v>
      </c>
      <c r="I7" t="s">
        <v>31</v>
      </c>
    </row>
    <row r="8" spans="1:13">
      <c r="A8" s="1">
        <v>45983</v>
      </c>
      <c r="B8" s="1" t="s">
        <v>35</v>
      </c>
      <c r="C8" s="1">
        <v>45995</v>
      </c>
      <c r="D8" s="1" t="s">
        <v>41</v>
      </c>
      <c r="E8" s="1" t="s">
        <v>103</v>
      </c>
      <c r="G8" t="s">
        <v>8</v>
      </c>
      <c r="H8">
        <v>100</v>
      </c>
      <c r="I8" t="s">
        <v>30</v>
      </c>
    </row>
    <row r="9" spans="1:13">
      <c r="A9" s="1">
        <v>45983</v>
      </c>
      <c r="B9" s="1" t="s">
        <v>35</v>
      </c>
      <c r="C9" s="1">
        <v>45994</v>
      </c>
      <c r="D9" s="1" t="s">
        <v>41</v>
      </c>
      <c r="E9" s="1" t="s">
        <v>102</v>
      </c>
      <c r="F9" s="2">
        <v>120</v>
      </c>
      <c r="G9" t="s">
        <v>9</v>
      </c>
      <c r="H9">
        <v>249</v>
      </c>
      <c r="I9" t="s">
        <v>30</v>
      </c>
    </row>
    <row r="10" spans="1:13">
      <c r="A10" s="1">
        <v>45983</v>
      </c>
      <c r="B10" s="1" t="s">
        <v>35</v>
      </c>
      <c r="C10" s="1">
        <v>45991</v>
      </c>
      <c r="D10" s="1" t="s">
        <v>90</v>
      </c>
      <c r="E10" s="1" t="s">
        <v>91</v>
      </c>
      <c r="F10" s="2">
        <v>199</v>
      </c>
      <c r="G10" t="s">
        <v>10</v>
      </c>
      <c r="H10">
        <v>199</v>
      </c>
      <c r="I10" t="s">
        <v>29</v>
      </c>
    </row>
    <row r="11" spans="1:13">
      <c r="A11" s="1">
        <v>45983</v>
      </c>
      <c r="B11" s="1" t="s">
        <v>35</v>
      </c>
      <c r="C11" s="1">
        <v>45985</v>
      </c>
      <c r="D11" s="1" t="s">
        <v>41</v>
      </c>
      <c r="E11" s="1" t="s">
        <v>75</v>
      </c>
      <c r="F11" s="2">
        <v>100</v>
      </c>
      <c r="G11" t="s">
        <v>11</v>
      </c>
      <c r="H11">
        <v>100</v>
      </c>
      <c r="I11" t="s">
        <v>12</v>
      </c>
    </row>
    <row r="12" spans="1:13">
      <c r="A12" s="1">
        <v>45983</v>
      </c>
      <c r="B12" s="1" t="s">
        <v>35</v>
      </c>
      <c r="C12" s="1">
        <v>45991</v>
      </c>
      <c r="D12" s="1" t="s">
        <v>70</v>
      </c>
      <c r="E12" s="1" t="s">
        <v>72</v>
      </c>
      <c r="F12" s="2">
        <v>260</v>
      </c>
      <c r="G12" t="s">
        <v>13</v>
      </c>
      <c r="H12">
        <v>510</v>
      </c>
      <c r="I12" t="s">
        <v>22</v>
      </c>
      <c r="J12">
        <v>139</v>
      </c>
    </row>
    <row r="13" spans="1:13">
      <c r="A13" s="1">
        <v>45983</v>
      </c>
      <c r="B13" s="1" t="s">
        <v>35</v>
      </c>
      <c r="C13" s="1">
        <v>45984</v>
      </c>
      <c r="D13" s="1" t="s">
        <v>41</v>
      </c>
      <c r="E13" s="1" t="s">
        <v>44</v>
      </c>
      <c r="F13" s="2">
        <f>539/2</f>
        <v>269.5</v>
      </c>
      <c r="G13" t="s">
        <v>14</v>
      </c>
      <c r="H13">
        <v>539</v>
      </c>
      <c r="I13" t="s">
        <v>23</v>
      </c>
      <c r="J13">
        <v>139</v>
      </c>
    </row>
    <row r="14" spans="1:13">
      <c r="A14" s="1">
        <v>45983</v>
      </c>
      <c r="B14" s="1" t="s">
        <v>35</v>
      </c>
      <c r="C14" s="1">
        <v>45988</v>
      </c>
      <c r="D14" s="1" t="s">
        <v>41</v>
      </c>
      <c r="E14" s="1" t="s">
        <v>76</v>
      </c>
      <c r="F14">
        <f>672/2</f>
        <v>336</v>
      </c>
      <c r="G14" t="s">
        <v>15</v>
      </c>
      <c r="H14">
        <f>672/2</f>
        <v>336</v>
      </c>
      <c r="I14" t="s">
        <v>25</v>
      </c>
      <c r="J14">
        <v>99</v>
      </c>
    </row>
    <row r="15" spans="1:13">
      <c r="A15" s="1">
        <v>45983</v>
      </c>
      <c r="B15" s="1" t="s">
        <v>35</v>
      </c>
      <c r="C15" s="1">
        <v>45987</v>
      </c>
      <c r="D15" s="1" t="s">
        <v>70</v>
      </c>
      <c r="E15" s="1" t="s">
        <v>71</v>
      </c>
      <c r="F15">
        <f>672/2</f>
        <v>336</v>
      </c>
      <c r="G15" t="s">
        <v>15</v>
      </c>
      <c r="H15">
        <f>672/2</f>
        <v>336</v>
      </c>
      <c r="I15" t="s">
        <v>25</v>
      </c>
      <c r="J15">
        <v>99</v>
      </c>
    </row>
    <row r="16" spans="1:13">
      <c r="A16" s="1">
        <v>45983</v>
      </c>
      <c r="B16" s="1" t="s">
        <v>35</v>
      </c>
      <c r="C16" s="1">
        <v>45986</v>
      </c>
      <c r="D16" s="1" t="s">
        <v>70</v>
      </c>
      <c r="E16" s="1" t="s">
        <v>55</v>
      </c>
      <c r="F16" s="2">
        <v>933</v>
      </c>
      <c r="G16" t="s">
        <v>15</v>
      </c>
      <c r="H16">
        <v>933</v>
      </c>
      <c r="I16" t="s">
        <v>26</v>
      </c>
      <c r="J16">
        <v>99</v>
      </c>
    </row>
    <row r="17" spans="1:10">
      <c r="A17" s="1">
        <v>45983</v>
      </c>
      <c r="B17" s="1" t="s">
        <v>35</v>
      </c>
      <c r="C17" s="1">
        <v>45994</v>
      </c>
      <c r="D17" s="1" t="s">
        <v>41</v>
      </c>
      <c r="E17" s="1" t="s">
        <v>89</v>
      </c>
      <c r="G17" t="s">
        <v>16</v>
      </c>
      <c r="H17">
        <v>472</v>
      </c>
      <c r="I17" t="s">
        <v>24</v>
      </c>
      <c r="J17">
        <v>89</v>
      </c>
    </row>
    <row r="18" spans="1:10">
      <c r="A18" s="1">
        <v>45983</v>
      </c>
      <c r="B18" s="1" t="s">
        <v>35</v>
      </c>
      <c r="C18" s="1">
        <v>45997</v>
      </c>
      <c r="D18" s="1" t="s">
        <v>41</v>
      </c>
      <c r="E18" s="1" t="s">
        <v>89</v>
      </c>
      <c r="G18" t="s">
        <v>17</v>
      </c>
      <c r="H18">
        <v>426</v>
      </c>
      <c r="I18">
        <v>384</v>
      </c>
      <c r="J18">
        <v>111</v>
      </c>
    </row>
    <row r="19" spans="1:10">
      <c r="A19" s="1">
        <v>45983</v>
      </c>
      <c r="B19" s="1" t="s">
        <v>35</v>
      </c>
      <c r="C19" s="1"/>
      <c r="D19" s="1"/>
      <c r="E19" s="1"/>
      <c r="G19" t="s">
        <v>18</v>
      </c>
      <c r="H19">
        <v>521</v>
      </c>
      <c r="I19">
        <v>350</v>
      </c>
      <c r="J19">
        <v>149</v>
      </c>
    </row>
    <row r="20" spans="1:10">
      <c r="A20" s="1">
        <v>45983</v>
      </c>
      <c r="B20" s="1" t="s">
        <v>35</v>
      </c>
      <c r="C20" s="1">
        <v>45987</v>
      </c>
      <c r="D20" s="1" t="s">
        <v>41</v>
      </c>
      <c r="E20" s="1" t="s">
        <v>77</v>
      </c>
      <c r="F20" s="2">
        <v>597</v>
      </c>
      <c r="G20" t="s">
        <v>19</v>
      </c>
      <c r="H20">
        <v>597</v>
      </c>
      <c r="I20">
        <v>413</v>
      </c>
      <c r="J20">
        <v>169</v>
      </c>
    </row>
    <row r="21" spans="1:10">
      <c r="A21" s="1">
        <v>45983</v>
      </c>
      <c r="B21" s="1" t="s">
        <v>35</v>
      </c>
      <c r="C21" s="1">
        <v>45984</v>
      </c>
      <c r="D21" s="1" t="s">
        <v>40</v>
      </c>
      <c r="E21" s="1"/>
      <c r="F21" s="2">
        <f>199/3</f>
        <v>66.333333333333329</v>
      </c>
      <c r="G21" t="s">
        <v>20</v>
      </c>
      <c r="H21">
        <v>199</v>
      </c>
      <c r="I21" t="s">
        <v>21</v>
      </c>
    </row>
    <row r="22" spans="1:10">
      <c r="A22" s="1">
        <v>45983</v>
      </c>
      <c r="B22" s="1" t="s">
        <v>35</v>
      </c>
      <c r="C22" s="1">
        <v>45985</v>
      </c>
      <c r="D22" s="1" t="s">
        <v>40</v>
      </c>
      <c r="E22" s="1"/>
      <c r="F22" s="2">
        <v>34</v>
      </c>
      <c r="G22" t="s">
        <v>32</v>
      </c>
      <c r="H22">
        <v>339</v>
      </c>
      <c r="I22" t="s">
        <v>33</v>
      </c>
    </row>
    <row r="23" spans="1:10">
      <c r="A23" s="1">
        <v>45983</v>
      </c>
      <c r="B23" s="1" t="s">
        <v>35</v>
      </c>
      <c r="C23" s="1">
        <v>45989</v>
      </c>
      <c r="D23" s="1" t="s">
        <v>40</v>
      </c>
      <c r="E23" t="s">
        <v>85</v>
      </c>
      <c r="F23" s="2">
        <v>50</v>
      </c>
      <c r="G23" t="s">
        <v>32</v>
      </c>
    </row>
    <row r="24" spans="1:10">
      <c r="A24" s="1">
        <v>45983</v>
      </c>
      <c r="B24" s="1" t="s">
        <v>36</v>
      </c>
      <c r="C24" s="1">
        <v>45983</v>
      </c>
      <c r="D24" s="1" t="s">
        <v>41</v>
      </c>
      <c r="E24" s="1"/>
      <c r="F24" s="2">
        <v>245</v>
      </c>
      <c r="G24" t="s">
        <v>34</v>
      </c>
      <c r="H24">
        <v>245</v>
      </c>
    </row>
    <row r="25" spans="1:10">
      <c r="A25" s="1">
        <v>45983</v>
      </c>
      <c r="B25" s="1" t="s">
        <v>36</v>
      </c>
      <c r="C25" s="1">
        <v>45983</v>
      </c>
      <c r="D25" s="1" t="s">
        <v>41</v>
      </c>
      <c r="E25" s="1"/>
      <c r="F25" s="2">
        <v>359</v>
      </c>
      <c r="G25" t="s">
        <v>37</v>
      </c>
      <c r="H25">
        <v>359</v>
      </c>
    </row>
    <row r="26" spans="1:10">
      <c r="A26" s="1">
        <v>45983</v>
      </c>
      <c r="B26" s="1" t="s">
        <v>35</v>
      </c>
      <c r="C26" s="1">
        <v>45984</v>
      </c>
      <c r="D26" s="1" t="s">
        <v>42</v>
      </c>
      <c r="F26" s="2">
        <v>80</v>
      </c>
      <c r="G26" t="s">
        <v>38</v>
      </c>
      <c r="H26">
        <v>399</v>
      </c>
    </row>
    <row r="27" spans="1:10">
      <c r="A27" s="1">
        <v>45983</v>
      </c>
      <c r="B27" s="1" t="s">
        <v>35</v>
      </c>
      <c r="C27" s="1">
        <v>45994</v>
      </c>
      <c r="D27" s="1" t="s">
        <v>40</v>
      </c>
      <c r="E27" t="s">
        <v>99</v>
      </c>
      <c r="G27" t="s">
        <v>39</v>
      </c>
      <c r="H27">
        <v>109</v>
      </c>
      <c r="I27" t="s">
        <v>12</v>
      </c>
    </row>
    <row r="28" spans="1:10">
      <c r="A28" s="1">
        <v>45983</v>
      </c>
      <c r="B28" s="1" t="s">
        <v>35</v>
      </c>
      <c r="C28" s="1">
        <v>45984</v>
      </c>
      <c r="D28" s="1" t="s">
        <v>41</v>
      </c>
      <c r="E28" t="s">
        <v>44</v>
      </c>
      <c r="F28" s="2">
        <v>150</v>
      </c>
      <c r="G28" t="s">
        <v>43</v>
      </c>
      <c r="H28">
        <v>299</v>
      </c>
    </row>
    <row r="29" spans="1:10">
      <c r="A29" s="1">
        <v>45985</v>
      </c>
      <c r="B29" s="1" t="s">
        <v>45</v>
      </c>
      <c r="C29" s="1">
        <v>45986</v>
      </c>
      <c r="D29" s="1" t="s">
        <v>70</v>
      </c>
      <c r="E29" t="s">
        <v>71</v>
      </c>
      <c r="F29" s="2">
        <v>280</v>
      </c>
      <c r="G29" t="s">
        <v>46</v>
      </c>
      <c r="H29">
        <v>280</v>
      </c>
      <c r="I29" t="s">
        <v>47</v>
      </c>
    </row>
    <row r="30" spans="1:10">
      <c r="A30" s="1">
        <v>45985</v>
      </c>
      <c r="B30" s="1" t="s">
        <v>45</v>
      </c>
      <c r="C30" s="1">
        <v>45987</v>
      </c>
      <c r="D30" s="1" t="s">
        <v>70</v>
      </c>
      <c r="E30" t="s">
        <v>71</v>
      </c>
      <c r="F30" s="2">
        <v>100</v>
      </c>
      <c r="G30" t="s">
        <v>46</v>
      </c>
      <c r="H30">
        <v>214</v>
      </c>
    </row>
    <row r="31" spans="1:10">
      <c r="A31" s="1">
        <v>45985</v>
      </c>
      <c r="B31" s="1" t="s">
        <v>49</v>
      </c>
      <c r="G31" t="s">
        <v>48</v>
      </c>
      <c r="H31">
        <v>4338</v>
      </c>
      <c r="I31" t="s">
        <v>50</v>
      </c>
    </row>
    <row r="32" spans="1:10">
      <c r="A32" s="1">
        <v>45985</v>
      </c>
      <c r="B32" s="1" t="s">
        <v>51</v>
      </c>
      <c r="C32" s="1">
        <v>45985</v>
      </c>
      <c r="D32" s="1" t="s">
        <v>41</v>
      </c>
      <c r="E32" t="s">
        <v>75</v>
      </c>
      <c r="F32" s="2">
        <v>250</v>
      </c>
      <c r="G32" t="s">
        <v>52</v>
      </c>
      <c r="H32">
        <v>250</v>
      </c>
    </row>
    <row r="33" spans="1:9">
      <c r="A33" s="1">
        <v>45985</v>
      </c>
      <c r="B33" s="1" t="s">
        <v>49</v>
      </c>
      <c r="C33" s="1">
        <v>45986</v>
      </c>
      <c r="D33" s="1" t="s">
        <v>70</v>
      </c>
      <c r="F33" s="2">
        <v>300</v>
      </c>
      <c r="G33" t="s">
        <v>53</v>
      </c>
      <c r="H33">
        <v>498</v>
      </c>
    </row>
    <row r="34" spans="1:9">
      <c r="A34" s="1">
        <v>45985</v>
      </c>
      <c r="B34" s="1" t="s">
        <v>55</v>
      </c>
      <c r="C34" s="1">
        <v>45986</v>
      </c>
      <c r="D34" s="1" t="s">
        <v>70</v>
      </c>
      <c r="E34" t="s">
        <v>72</v>
      </c>
      <c r="F34">
        <v>783</v>
      </c>
      <c r="G34" t="s">
        <v>54</v>
      </c>
      <c r="H34">
        <v>783</v>
      </c>
    </row>
    <row r="35" spans="1:9">
      <c r="A35" s="1">
        <v>45985</v>
      </c>
      <c r="B35" s="1" t="s">
        <v>55</v>
      </c>
      <c r="C35" s="1">
        <v>45986</v>
      </c>
      <c r="D35" s="1" t="s">
        <v>70</v>
      </c>
      <c r="E35" t="s">
        <v>72</v>
      </c>
      <c r="F35">
        <v>798</v>
      </c>
      <c r="G35" t="s">
        <v>56</v>
      </c>
      <c r="H35">
        <v>798</v>
      </c>
    </row>
    <row r="36" spans="1:9">
      <c r="A36" s="1">
        <v>45985</v>
      </c>
      <c r="B36" s="1" t="s">
        <v>57</v>
      </c>
      <c r="G36" t="s">
        <v>58</v>
      </c>
      <c r="H36">
        <v>159</v>
      </c>
    </row>
    <row r="37" spans="1:9">
      <c r="A37" s="1">
        <v>45985</v>
      </c>
      <c r="B37" s="1" t="s">
        <v>60</v>
      </c>
      <c r="G37" t="s">
        <v>59</v>
      </c>
      <c r="H37">
        <v>99</v>
      </c>
    </row>
    <row r="38" spans="1:9">
      <c r="A38" s="1">
        <v>45985</v>
      </c>
      <c r="B38" s="1" t="s">
        <v>57</v>
      </c>
      <c r="G38" t="s">
        <v>61</v>
      </c>
      <c r="H38">
        <v>298</v>
      </c>
    </row>
    <row r="39" spans="1:9">
      <c r="A39" s="1">
        <v>45985</v>
      </c>
      <c r="B39" s="1" t="s">
        <v>55</v>
      </c>
      <c r="C39" s="1">
        <v>45987</v>
      </c>
      <c r="D39" t="s">
        <v>70</v>
      </c>
      <c r="E39" t="s">
        <v>7</v>
      </c>
      <c r="F39" s="2">
        <v>108</v>
      </c>
      <c r="G39" t="s">
        <v>62</v>
      </c>
      <c r="H39">
        <v>108</v>
      </c>
    </row>
    <row r="40" spans="1:9">
      <c r="A40" s="1">
        <v>45985</v>
      </c>
      <c r="B40" s="1" t="s">
        <v>55</v>
      </c>
      <c r="C40" s="1">
        <v>45987</v>
      </c>
      <c r="D40" t="s">
        <v>70</v>
      </c>
      <c r="E40" t="s">
        <v>71</v>
      </c>
      <c r="F40" s="2">
        <v>138</v>
      </c>
      <c r="G40" t="s">
        <v>63</v>
      </c>
      <c r="H40">
        <v>138</v>
      </c>
    </row>
    <row r="41" spans="1:9">
      <c r="A41" s="1">
        <v>45985</v>
      </c>
      <c r="B41" s="1" t="s">
        <v>55</v>
      </c>
      <c r="C41" s="1">
        <v>45991</v>
      </c>
      <c r="D41" t="s">
        <v>70</v>
      </c>
      <c r="E41" t="s">
        <v>72</v>
      </c>
      <c r="F41" s="2">
        <v>80</v>
      </c>
      <c r="G41" t="s">
        <v>64</v>
      </c>
      <c r="H41">
        <v>158</v>
      </c>
    </row>
    <row r="42" spans="1:9">
      <c r="A42" s="1">
        <v>45985</v>
      </c>
      <c r="B42" s="1" t="s">
        <v>35</v>
      </c>
      <c r="G42" t="s">
        <v>65</v>
      </c>
      <c r="H42">
        <v>428</v>
      </c>
    </row>
    <row r="43" spans="1:9">
      <c r="A43" s="1">
        <v>45985</v>
      </c>
      <c r="B43" s="1" t="s">
        <v>55</v>
      </c>
      <c r="C43" s="1">
        <v>45986</v>
      </c>
      <c r="D43" s="1" t="s">
        <v>70</v>
      </c>
      <c r="E43" t="s">
        <v>55</v>
      </c>
      <c r="F43" s="2">
        <v>64</v>
      </c>
      <c r="G43" t="s">
        <v>66</v>
      </c>
      <c r="H43">
        <v>128</v>
      </c>
    </row>
    <row r="44" spans="1:9">
      <c r="A44" s="1">
        <v>45985</v>
      </c>
      <c r="B44" s="1" t="s">
        <v>57</v>
      </c>
      <c r="C44" s="1">
        <v>45986</v>
      </c>
      <c r="D44" s="1" t="s">
        <v>70</v>
      </c>
      <c r="E44" t="s">
        <v>55</v>
      </c>
      <c r="F44" s="2">
        <v>64</v>
      </c>
      <c r="G44" s="1" t="s">
        <v>67</v>
      </c>
      <c r="H44">
        <v>128</v>
      </c>
    </row>
    <row r="45" spans="1:9">
      <c r="A45" s="1">
        <v>45985</v>
      </c>
      <c r="B45" s="1" t="s">
        <v>57</v>
      </c>
      <c r="C45" s="1">
        <v>45986</v>
      </c>
      <c r="D45" s="1" t="s">
        <v>70</v>
      </c>
      <c r="E45" t="s">
        <v>55</v>
      </c>
      <c r="F45" s="2">
        <v>168</v>
      </c>
      <c r="G45" t="s">
        <v>68</v>
      </c>
      <c r="H45">
        <v>168</v>
      </c>
    </row>
    <row r="46" spans="1:9">
      <c r="A46" s="1">
        <v>45986</v>
      </c>
      <c r="B46" s="1" t="s">
        <v>55</v>
      </c>
      <c r="C46" s="1">
        <v>45986</v>
      </c>
      <c r="D46" s="1" t="s">
        <v>70</v>
      </c>
      <c r="E46" t="s">
        <v>55</v>
      </c>
      <c r="F46" s="2">
        <v>259</v>
      </c>
      <c r="G46" t="s">
        <v>64</v>
      </c>
      <c r="H46">
        <v>318</v>
      </c>
      <c r="I46" t="s">
        <v>69</v>
      </c>
    </row>
    <row r="47" spans="1:9">
      <c r="A47" s="1">
        <v>45986</v>
      </c>
      <c r="B47" s="1" t="s">
        <v>55</v>
      </c>
      <c r="C47" s="1">
        <v>45986</v>
      </c>
      <c r="D47" s="1" t="s">
        <v>70</v>
      </c>
      <c r="E47" t="s">
        <v>55</v>
      </c>
      <c r="F47" s="2">
        <v>268</v>
      </c>
      <c r="G47" t="s">
        <v>68</v>
      </c>
      <c r="H47">
        <v>536</v>
      </c>
      <c r="I47" t="s">
        <v>69</v>
      </c>
    </row>
    <row r="48" spans="1:9">
      <c r="A48" s="1">
        <v>45988</v>
      </c>
      <c r="B48" s="1" t="s">
        <v>78</v>
      </c>
      <c r="C48" s="1">
        <v>45988</v>
      </c>
      <c r="D48" s="1" t="s">
        <v>40</v>
      </c>
      <c r="E48" t="s">
        <v>81</v>
      </c>
      <c r="F48" s="2">
        <v>300</v>
      </c>
      <c r="G48" t="s">
        <v>79</v>
      </c>
      <c r="H48">
        <v>300</v>
      </c>
    </row>
    <row r="49" spans="1:8">
      <c r="A49" s="1">
        <v>45988</v>
      </c>
      <c r="B49" s="1" t="s">
        <v>78</v>
      </c>
      <c r="C49" s="1">
        <v>45988</v>
      </c>
      <c r="D49" s="1" t="s">
        <v>40</v>
      </c>
      <c r="E49" t="s">
        <v>81</v>
      </c>
      <c r="F49" s="2">
        <v>200</v>
      </c>
      <c r="G49" t="s">
        <v>80</v>
      </c>
      <c r="H49">
        <v>200</v>
      </c>
    </row>
    <row r="50" spans="1:8">
      <c r="A50" s="1">
        <v>45988</v>
      </c>
      <c r="B50" s="1" t="s">
        <v>82</v>
      </c>
      <c r="C50" s="1">
        <v>45988</v>
      </c>
      <c r="D50" s="1" t="s">
        <v>70</v>
      </c>
      <c r="E50" t="s">
        <v>83</v>
      </c>
      <c r="F50" s="2">
        <v>2200</v>
      </c>
      <c r="G50" s="1" t="s">
        <v>84</v>
      </c>
      <c r="H50">
        <v>2200</v>
      </c>
    </row>
    <row r="51" spans="1:8">
      <c r="A51" s="1">
        <v>45988</v>
      </c>
      <c r="B51" s="1" t="s">
        <v>35</v>
      </c>
      <c r="C51" s="1">
        <v>45989</v>
      </c>
      <c r="D51" s="1" t="s">
        <v>40</v>
      </c>
      <c r="E51" t="s">
        <v>88</v>
      </c>
      <c r="F51" s="2">
        <v>50</v>
      </c>
      <c r="G51" t="s">
        <v>86</v>
      </c>
      <c r="H51">
        <v>250</v>
      </c>
    </row>
    <row r="52" spans="1:8">
      <c r="A52" s="1">
        <v>45988</v>
      </c>
      <c r="B52" s="1" t="s">
        <v>35</v>
      </c>
      <c r="C52" s="1">
        <v>45990</v>
      </c>
      <c r="D52" s="1" t="s">
        <v>70</v>
      </c>
      <c r="E52" t="s">
        <v>89</v>
      </c>
      <c r="F52" s="2">
        <v>50</v>
      </c>
      <c r="G52" t="s">
        <v>87</v>
      </c>
      <c r="H52">
        <v>300</v>
      </c>
    </row>
    <row r="53" spans="1:8">
      <c r="A53" s="1">
        <v>45992</v>
      </c>
      <c r="B53" s="1" t="s">
        <v>35</v>
      </c>
      <c r="C53" s="1">
        <v>45993</v>
      </c>
      <c r="E53" t="s">
        <v>104</v>
      </c>
      <c r="F53" s="2">
        <v>299</v>
      </c>
      <c r="G53" t="s">
        <v>92</v>
      </c>
      <c r="H53">
        <v>299</v>
      </c>
    </row>
    <row r="54" spans="1:8">
      <c r="A54" s="1">
        <v>45992</v>
      </c>
      <c r="B54" s="1" t="s">
        <v>35</v>
      </c>
      <c r="C54" s="1">
        <v>45992</v>
      </c>
      <c r="D54" s="1" t="s">
        <v>70</v>
      </c>
      <c r="E54" t="s">
        <v>96</v>
      </c>
      <c r="G54" t="s">
        <v>93</v>
      </c>
      <c r="H54">
        <v>249</v>
      </c>
    </row>
    <row r="55" spans="1:8">
      <c r="A55" s="1">
        <v>45992</v>
      </c>
      <c r="B55" s="1" t="s">
        <v>35</v>
      </c>
      <c r="C55" s="1"/>
      <c r="G55" t="s">
        <v>94</v>
      </c>
      <c r="H55">
        <v>399</v>
      </c>
    </row>
    <row r="56" spans="1:8">
      <c r="A56" s="1">
        <v>45992</v>
      </c>
      <c r="B56" s="1" t="s">
        <v>35</v>
      </c>
      <c r="C56" s="1">
        <v>45995</v>
      </c>
      <c r="D56" s="1" t="s">
        <v>41</v>
      </c>
      <c r="E56" t="s">
        <v>101</v>
      </c>
      <c r="F56" s="2">
        <v>80</v>
      </c>
      <c r="G56" t="s">
        <v>0</v>
      </c>
      <c r="H56">
        <v>129</v>
      </c>
    </row>
    <row r="57" spans="1:8">
      <c r="A57" s="1">
        <v>45992</v>
      </c>
      <c r="B57" s="1" t="s">
        <v>35</v>
      </c>
      <c r="C57" s="1">
        <v>45992</v>
      </c>
      <c r="D57" t="s">
        <v>41</v>
      </c>
      <c r="E57" t="s">
        <v>98</v>
      </c>
      <c r="F57" s="2">
        <v>323</v>
      </c>
      <c r="G57" t="s">
        <v>95</v>
      </c>
      <c r="H57">
        <v>323</v>
      </c>
    </row>
    <row r="58" spans="1:8">
      <c r="A58" s="1">
        <v>45992</v>
      </c>
      <c r="B58" s="1" t="s">
        <v>35</v>
      </c>
      <c r="C58" s="1">
        <v>45993</v>
      </c>
      <c r="D58" t="s">
        <v>41</v>
      </c>
      <c r="E58" t="s">
        <v>97</v>
      </c>
      <c r="F58" s="2">
        <v>326</v>
      </c>
      <c r="G58" t="s">
        <v>95</v>
      </c>
      <c r="H58">
        <v>326</v>
      </c>
    </row>
    <row r="59" spans="1:8">
      <c r="A59" s="1">
        <v>45992</v>
      </c>
      <c r="B59" s="1" t="s">
        <v>35</v>
      </c>
      <c r="C59" s="1">
        <v>45996</v>
      </c>
      <c r="E59" t="s">
        <v>104</v>
      </c>
      <c r="F59" s="2">
        <v>349</v>
      </c>
      <c r="G59" t="s">
        <v>32</v>
      </c>
      <c r="H59">
        <v>349</v>
      </c>
    </row>
    <row r="60" spans="1:8">
      <c r="A60" s="1">
        <v>45996</v>
      </c>
      <c r="B60" s="1" t="s">
        <v>35</v>
      </c>
      <c r="C60" s="1">
        <v>45996</v>
      </c>
      <c r="D60" t="s">
        <v>41</v>
      </c>
      <c r="E60" t="s">
        <v>106</v>
      </c>
      <c r="G60" t="s">
        <v>105</v>
      </c>
      <c r="H60">
        <v>616</v>
      </c>
    </row>
    <row r="61" spans="1:8">
      <c r="A61" s="1">
        <v>45996</v>
      </c>
      <c r="B61" s="1" t="s">
        <v>35</v>
      </c>
      <c r="C61" s="1">
        <v>45996</v>
      </c>
      <c r="D61" t="s">
        <v>41</v>
      </c>
      <c r="E61" t="s">
        <v>106</v>
      </c>
      <c r="G61" t="s">
        <v>105</v>
      </c>
      <c r="H61">
        <v>658</v>
      </c>
    </row>
    <row r="62" spans="1:8">
      <c r="A62" s="1">
        <v>45996</v>
      </c>
      <c r="B62" s="1" t="s">
        <v>57</v>
      </c>
      <c r="G62" t="s">
        <v>107</v>
      </c>
      <c r="H62">
        <v>979</v>
      </c>
    </row>
    <row r="63" spans="1:8">
      <c r="A63" s="1">
        <v>45996</v>
      </c>
      <c r="B63" s="1" t="s">
        <v>57</v>
      </c>
      <c r="G63" t="s">
        <v>108</v>
      </c>
      <c r="H63">
        <v>299</v>
      </c>
    </row>
    <row r="64" spans="1:8">
      <c r="A64" s="1">
        <v>45996</v>
      </c>
      <c r="B64" s="1" t="s">
        <v>57</v>
      </c>
      <c r="G64" t="s">
        <v>109</v>
      </c>
      <c r="H64">
        <v>328</v>
      </c>
    </row>
    <row r="65" spans="1:8">
      <c r="A65" s="1">
        <v>45997</v>
      </c>
      <c r="B65" s="1" t="s">
        <v>35</v>
      </c>
      <c r="G65" t="s">
        <v>110</v>
      </c>
      <c r="H65">
        <v>208</v>
      </c>
    </row>
    <row r="66" spans="1:8">
      <c r="A66" s="1">
        <v>45997</v>
      </c>
      <c r="B66" s="1" t="s">
        <v>57</v>
      </c>
      <c r="G66" t="s">
        <v>111</v>
      </c>
      <c r="H66">
        <v>246</v>
      </c>
    </row>
    <row r="67" spans="1:8">
      <c r="A67" s="1">
        <v>45997</v>
      </c>
      <c r="B67" s="1" t="s">
        <v>57</v>
      </c>
      <c r="G67" t="s">
        <v>112</v>
      </c>
      <c r="H67">
        <v>199</v>
      </c>
    </row>
    <row r="68" spans="1:8">
      <c r="A68" s="1">
        <v>45997</v>
      </c>
      <c r="B68" s="1" t="s">
        <v>57</v>
      </c>
      <c r="G68" t="s">
        <v>113</v>
      </c>
      <c r="H68">
        <v>199</v>
      </c>
    </row>
    <row r="69" spans="1:8">
      <c r="A69" s="1">
        <v>45998</v>
      </c>
      <c r="B69" s="1" t="s">
        <v>35</v>
      </c>
      <c r="G69" t="s">
        <v>114</v>
      </c>
      <c r="H69">
        <v>198</v>
      </c>
    </row>
    <row r="70" spans="1:8">
      <c r="A70" s="1">
        <v>45998</v>
      </c>
      <c r="B70" s="1" t="s">
        <v>35</v>
      </c>
      <c r="G70" t="s">
        <v>115</v>
      </c>
      <c r="H70">
        <v>98</v>
      </c>
    </row>
    <row r="71" spans="1:8">
      <c r="A71" s="1">
        <v>45998</v>
      </c>
      <c r="B71" s="1" t="s">
        <v>35</v>
      </c>
      <c r="G71" t="s">
        <v>116</v>
      </c>
      <c r="H71">
        <v>398</v>
      </c>
    </row>
    <row r="72" spans="1:8">
      <c r="A72" s="1">
        <v>45998</v>
      </c>
      <c r="B72" s="1" t="s">
        <v>35</v>
      </c>
      <c r="G72" t="s">
        <v>117</v>
      </c>
      <c r="H72">
        <v>398</v>
      </c>
    </row>
    <row r="73" spans="1:8">
      <c r="A73" s="1">
        <v>45998</v>
      </c>
      <c r="B73" s="1" t="s">
        <v>35</v>
      </c>
      <c r="G73" t="s">
        <v>118</v>
      </c>
      <c r="H73">
        <v>528</v>
      </c>
    </row>
    <row r="74" spans="1:8">
      <c r="A74" s="1">
        <v>45998</v>
      </c>
      <c r="B74" s="1" t="s">
        <v>36</v>
      </c>
      <c r="C74" s="1">
        <v>45998</v>
      </c>
      <c r="D74" t="s">
        <v>41</v>
      </c>
      <c r="G74" t="s">
        <v>119</v>
      </c>
      <c r="H74">
        <f>1180-354</f>
        <v>826</v>
      </c>
    </row>
    <row r="75" spans="1:8">
      <c r="A75" s="1">
        <v>45998</v>
      </c>
      <c r="B75" s="1" t="s">
        <v>36</v>
      </c>
      <c r="C75" s="1">
        <v>45998</v>
      </c>
      <c r="D75" t="s">
        <v>41</v>
      </c>
      <c r="G75" t="s">
        <v>120</v>
      </c>
      <c r="H75">
        <f>358-72</f>
        <v>286</v>
      </c>
    </row>
    <row r="76" spans="1:8">
      <c r="A76" s="1">
        <v>45998</v>
      </c>
      <c r="B76" s="1" t="s">
        <v>60</v>
      </c>
      <c r="G76" t="s">
        <v>121</v>
      </c>
      <c r="H76">
        <v>196</v>
      </c>
    </row>
    <row r="77" spans="1:8">
      <c r="A77" s="1">
        <v>45998</v>
      </c>
      <c r="B77" s="1" t="s">
        <v>60</v>
      </c>
      <c r="G77" t="s">
        <v>122</v>
      </c>
      <c r="H77">
        <v>78</v>
      </c>
    </row>
    <row r="78" spans="1:8">
      <c r="A78" s="1">
        <v>45998</v>
      </c>
      <c r="B78" s="1" t="s">
        <v>35</v>
      </c>
      <c r="G78" t="s">
        <v>123</v>
      </c>
      <c r="H78">
        <v>198</v>
      </c>
    </row>
    <row r="79" spans="1:8">
      <c r="A79" s="1">
        <v>45998</v>
      </c>
      <c r="B79" s="1" t="s">
        <v>35</v>
      </c>
      <c r="G79" t="s">
        <v>124</v>
      </c>
      <c r="H79">
        <v>198</v>
      </c>
    </row>
    <row r="80" spans="1:8">
      <c r="A80" s="1">
        <v>45998</v>
      </c>
      <c r="B80" s="1" t="s">
        <v>35</v>
      </c>
      <c r="G80" t="s">
        <v>125</v>
      </c>
      <c r="H80">
        <v>218</v>
      </c>
    </row>
    <row r="81" spans="1:8">
      <c r="A81" s="1">
        <v>45998</v>
      </c>
      <c r="B81" s="1" t="s">
        <v>131</v>
      </c>
      <c r="G81" t="s">
        <v>126</v>
      </c>
      <c r="H81">
        <v>108</v>
      </c>
    </row>
    <row r="82" spans="1:8">
      <c r="A82" s="1">
        <v>45998</v>
      </c>
      <c r="B82" s="1" t="s">
        <v>35</v>
      </c>
      <c r="G82" t="s">
        <v>127</v>
      </c>
      <c r="H82">
        <v>378</v>
      </c>
    </row>
    <row r="83" spans="1:8">
      <c r="A83" s="1">
        <v>45998</v>
      </c>
      <c r="B83" s="1" t="s">
        <v>35</v>
      </c>
      <c r="G83" t="s">
        <v>128</v>
      </c>
      <c r="H83">
        <v>208</v>
      </c>
    </row>
    <row r="84" spans="1:8">
      <c r="A84" s="1">
        <v>45998</v>
      </c>
      <c r="B84" s="1" t="s">
        <v>35</v>
      </c>
      <c r="G84" t="s">
        <v>129</v>
      </c>
      <c r="H84">
        <v>258</v>
      </c>
    </row>
    <row r="85" spans="1:8">
      <c r="A85" s="1">
        <v>45998</v>
      </c>
      <c r="B85" s="1" t="s">
        <v>35</v>
      </c>
      <c r="G85" t="s">
        <v>129</v>
      </c>
      <c r="H85">
        <v>258</v>
      </c>
    </row>
    <row r="86" spans="1:8">
      <c r="A86" s="1">
        <v>45998</v>
      </c>
      <c r="B86" s="1" t="s">
        <v>60</v>
      </c>
      <c r="G86" t="s">
        <v>130</v>
      </c>
      <c r="H86">
        <v>198</v>
      </c>
    </row>
    <row r="87" spans="1:8">
      <c r="A87" s="1"/>
      <c r="B8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知香子 桾</dc:creator>
  <cp:lastModifiedBy>知香子 桾</cp:lastModifiedBy>
  <dcterms:created xsi:type="dcterms:W3CDTF">2025-11-19T11:16:00Z</dcterms:created>
  <dcterms:modified xsi:type="dcterms:W3CDTF">2025-12-07T15:26:14Z</dcterms:modified>
</cp:coreProperties>
</file>